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a689cf4ee148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cef43cf00bd6427f"/>
    <x:sheet xmlns:r="http://schemas.openxmlformats.org/officeDocument/2006/relationships" name="审批指标复核" sheetId="2" r:id="R965f2a7eb9894204"/>
    <x:sheet xmlns:r="http://schemas.openxmlformats.org/officeDocument/2006/relationships" name="行业景气指标清单" sheetId="3" r:id="R7a5608778f824b71"/>
    <x:sheet xmlns:r="http://schemas.openxmlformats.org/officeDocument/2006/relationships" name="复核汇总" sheetId="4" r:id="R6a09aad31d2e421c"/>
    <x:sheet xmlns:r="http://schemas.openxmlformats.org/officeDocument/2006/relationships" name="待重点确认" sheetId="5" r:id="R7aecb28ffb0f4c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Microsoft YaHei"/>
    </x:font>
    <x:font>
      <x:b/>
      <x:sz val="10"/>
      <x:color rgb="FFFFFFFF"/>
      <x:name val="Microsoft YaHei"/>
    </x:font>
    <x:font>
      <x:sz val="10"/>
      <x:color rgb="FF000000"/>
      <x:name val="Microsoft YaHei"/>
    </x:font>
    <x:font>
      <x:b/>
      <x:sz val="10"/>
      <x:color rgb="FF006100"/>
      <x:name val="Microsoft YaHei"/>
    </x:font>
    <x:font>
      <x:b/>
      <x:sz val="10"/>
      <x:color rgb="FFC00000"/>
      <x:name val="Microsoft YaHei"/>
    </x:font>
    <x:font>
      <x:b/>
      <x:sz val="10"/>
      <x:color rgb="FF000000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F00"/>
      </x:patternFill>
    </x:fill>
    <x:fill>
      <x:patternFill patternType="solid">
        <x:fgColor rgb="FF92D050"/>
      </x:patternFill>
    </x:fill>
    <x:fill>
      <x:patternFill patternType="solid">
        <x:fgColor rgb="FF00B0F0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3" fillId="4" borderId="0" xfId="0" applyNumberFormat="1" applyFont="1" applyFill="1" applyBorder="1"/>
    <x:xf numFmtId="0" fontId="3" fillId="5" borderId="0" xfId="0" applyNumberFormat="1" applyFont="1" applyFill="1" applyBorder="1"/>
    <x:xf numFmtId="0" fontId="3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afcfd0d5fe4095" /><Relationship Type="http://schemas.openxmlformats.org/officeDocument/2006/relationships/theme" Target="/xl/theme/theme1.xml" Id="Rbace2c31e2744bd9" /><Relationship Type="http://schemas.openxmlformats.org/officeDocument/2006/relationships/sharedStrings" Target="/xl/sharedStrings.xml" Id="Rf1b6f874f8de4fb2" /><Relationship Type="http://schemas.openxmlformats.org/officeDocument/2006/relationships/worksheet" Target="/xl/worksheets/sheet1.xml" Id="Rcef43cf00bd6427f" /><Relationship Type="http://schemas.openxmlformats.org/officeDocument/2006/relationships/worksheet" Target="/xl/worksheets/sheet2.xml" Id="R965f2a7eb9894204" /><Relationship Type="http://schemas.openxmlformats.org/officeDocument/2006/relationships/worksheet" Target="/xl/worksheets/sheet3.xml" Id="R7a5608778f824b71" /><Relationship Type="http://schemas.openxmlformats.org/officeDocument/2006/relationships/worksheet" Target="/xl/worksheets/sheet4.xml" Id="R6a09aad31d2e421c" /><Relationship Type="http://schemas.openxmlformats.org/officeDocument/2006/relationships/worksheet" Target="/xl/worksheets/sheet5.xml" Id="R7aecb28ffb0f4c17" /></Relationships>
</file>

<file path=xl/tables/table1.xml><?xml version="1.0" encoding="utf-8"?>
<x:table xmlns:x="http://schemas.openxmlformats.org/spreadsheetml/2006/main" id="1" name="ApprovalReviewTable" displayName="ApprovalReviewTable" ref="A1:AD99" headerRowCount="1" totalsRowCount="0" totalsRowShown="0">
  <x:autoFilter ref="A1:AD99"/>
  <x:tableColumns count="30">
    <x:tableColumn id="1" name="原审批颜色"/>
    <x:tableColumn id="2" name="复核结论"/>
    <x:tableColumn id="3" name="复核优先级"/>
    <x:tableColumn id="4" name="行业代码"/>
    <x:tableColumn id="5" name="原指标名称"/>
    <x:tableColumn id="6" name="Wind代码"/>
    <x:tableColumn id="7" name="指标职能"/>
    <x:tableColumn id="8" name="计算口径"/>
    <x:tableColumn id="9" name="UQER指标名称"/>
    <x:tableColumn id="10" name="UQER ID"/>
    <x:tableColumn id="11" name="英文名称"/>
    <x:tableColumn id="12" name="频率"/>
    <x:tableColumn id="13" name="单位"/>
    <x:tableColumn id="14" name="统计类型"/>
    <x:tableColumn id="15" name="地区"/>
    <x:tableColumn id="16" name="国家"/>
    <x:tableColumn id="17" name="来源"/>
    <x:tableColumn id="18" name="起始日期"/>
    <x:tableColumn id="19" name="截止日期"/>
    <x:tableColumn id="20" name="持续更新"/>
    <x:tableColumn id="21" name="地区核对"/>
    <x:tableColumn id="22" name="术语核对"/>
    <x:tableColumn id="23" name="产品/口径核对"/>
    <x:tableColumn id="24" name="复核理由"/>
    <x:tableColumn id="25" name="主要风险"/>
    <x:tableColumn id="26" name="建议动作"/>
    <x:tableColumn id="27" name="时点提示"/>
    <x:tableColumn id="28" name="UQER API"/>
    <x:tableColumn id="29" name="mapping_row_id"/>
    <x:tableColumn id="30" name="审批来源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ProsperityIndicatorTable" displayName="ProsperityIndicatorTable" ref="A1:R841" headerRowCount="1" totalsRowCount="0" totalsRowShown="0">
  <x:autoFilter ref="A1:R841"/>
  <x:tableColumns count="18">
    <x:tableColumn id="1" name="行业代码"/>
    <x:tableColumn id="2" name="行业名称"/>
    <x:tableColumn id="3" name="行业内序号"/>
    <x:tableColumn id="4" name="UQER指标ID"/>
    <x:tableColumn id="5" name="UQER中文名"/>
    <x:tableColumn id="6" name="UQER英文名"/>
    <x:tableColumn id="7" name="频率"/>
    <x:tableColumn id="8" name="单位"/>
    <x:tableColumn id="9" name="统计类型"/>
    <x:tableColumn id="10" name="地区"/>
    <x:tableColumn id="11" name="国家"/>
    <x:tableColumn id="12" name="数据来源"/>
    <x:tableColumn id="13" name="UQER API"/>
    <x:tableColumn id="14" name="历史开始"/>
    <x:tableColumn id="15" name="历史结束"/>
    <x:tableColumn id="16" name="更新状态"/>
    <x:tableColumn id="17" name="用户审批"/>
    <x:tableColumn id="18" name="用户备注"/>
  </x:tableColumns>
  <x:tableStyleInfo name="TableStyleLight1" showFirstColumn="0" showLastColumn="0" showRowStripes="0" showColumnStripes="0"/>
</x:table>
</file>

<file path=xl/tables/table3.xml><?xml version="1.0" encoding="utf-8"?>
<x:table xmlns:x="http://schemas.openxmlformats.org/spreadsheetml/2006/main" id="3" name="FocusReviewTable" displayName="FocusReviewTable" ref="A1:I32" headerRowCount="1" totalsRowCount="0" totalsRowShown="0">
  <x:autoFilter ref="A1:I32"/>
  <x:tableColumns count="9">
    <x:tableColumn id="1" name="来源"/>
    <x:tableColumn id="2" name="原审批颜色"/>
    <x:tableColumn id="3" name="行业"/>
    <x:tableColumn id="4" name="原目标/关联目标"/>
    <x:tableColumn id="5" name="UQER指标"/>
    <x:tableColumn id="6" name="当前结论"/>
    <x:tableColumn id="7" name="重点原因"/>
    <x:tableColumn id="8" name="建议动作"/>
    <x:tableColumn id="9" name="引用ID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1f6591cc354a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4b190f0e5b4a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ce60d262c1b49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44" hidden="0" customWidth="1"/>
    <x:col min="4" max="4" width="42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 ht="34" customHeight="1">
      <x:c r="A1" s="3" t="str">
        <x:v>UQER 行业指标复核与行业景气指标清单</x:v>
      </x:c>
      <x:c r="B1" s="3"/>
      <x:c r="C1" s="3"/>
      <x:c r="D1" s="3"/>
      <x:c r="E1" s="3"/>
      <x:c r="F1" s="3"/>
      <x:c r="G1" s="3"/>
      <x:c r="H1" s="3"/>
    </x:row>
    <x:row r="3">
      <x:c r="A3" s="9" t="str">
        <x:v>项目</x:v>
      </x:c>
      <x:c r="B3" s="9" t="str">
        <x:v>说明</x:v>
      </x:c>
      <x:c r="C3" s="9" t="str">
        <x:v>本次处理</x:v>
      </x:c>
      <x:c r="D3" s="9" t="str">
        <x:v>后续动作</x:v>
      </x:c>
      <x:c r="E3" t="str"/>
      <x:c r="F3" t="str"/>
      <x:c r="G3" t="str"/>
      <x:c r="H3" t="str"/>
    </x:row>
    <x:row r="4" ht="46" customHeight="1">
      <x:c r="A4" s="13" t="str">
        <x:v>黄色</x:v>
      </x:c>
      <x:c r="B4" s="12" t="str">
        <x:v>用户认为可直接替代</x:v>
      </x:c>
      <x:c r="C4" s="12" t="str">
        <x:v>仍复核地区、统计对象、产品规格和口径；发现冲突会下调</x:v>
      </x:c>
      <x:c r="D4" s="12" t="str">
        <x:v>查看“审批指标复核”的复核结论</x:v>
      </x:c>
      <x:c r="E4" t="str"/>
      <x:c r="F4" t="str"/>
      <x:c r="G4" t="str"/>
      <x:c r="H4" t="str"/>
    </x:row>
    <x:row r="5" ht="46" customHeight="1">
      <x:c r="A5" s="14" t="str">
        <x:v>绿色</x:v>
      </x:c>
      <x:c r="B5" s="12" t="str">
        <x:v>用户不确定</x:v>
      </x:c>
      <x:c r="C5" s="12" t="str">
        <x:v>逐条深审</x:v>
      </x:c>
      <x:c r="D5" s="12" t="str">
        <x:v>优先查看“待重点确认”</x:v>
      </x:c>
      <x:c r="E5" t="str"/>
      <x:c r="F5" t="str"/>
      <x:c r="G5" t="str"/>
      <x:c r="H5" t="str"/>
    </x:row>
    <x:row r="6" ht="46" customHeight="1">
      <x:c r="A6" s="15" t="str">
        <x:v>蓝色</x:v>
      </x:c>
      <x:c r="B6" s="12" t="str">
        <x:v>允许纳入但不是原始指标</x:v>
      </x:c>
      <x:c r="C6" s="12" t="str">
        <x:v>统一作为补充指标</x:v>
      </x:c>
      <x:c r="D6" s="12" t="str">
        <x:v>不替换原序列</x:v>
      </x:c>
      <x:c r="E6" t="str"/>
      <x:c r="F6" t="str"/>
      <x:c r="G6" t="str"/>
      <x:c r="H6" t="str"/>
    </x:row>
    <x:row r="7" ht="46" customHeight="1">
      <x:c r="A7" s="12" t="str">
        <x:v>优先规则</x:v>
      </x:c>
      <x:c r="B7" s="12" t="str">
        <x:v>同一 mapping_row_id × UQER ID 两表颜色冲突</x:v>
      </x:c>
      <x:c r="C7" s="12" t="str">
        <x:v>以优先审核表为准</x:v>
      </x:c>
      <x:c r="D7" s="12" t="str">
        <x:v>已执行</x:v>
      </x:c>
      <x:c r="E7" t="str"/>
      <x:c r="F7" t="str"/>
      <x:c r="G7" t="str"/>
      <x:c r="H7" t="str"/>
    </x:row>
    <x:row r="8" ht="46" customHeight="1">
      <x:c r="A8" s="12" t="str">
        <x:v>景气清单</x:v>
      </x:c>
      <x:c r="B8" s="12" t="str">
        <x:v>28 个申万一级行业，每个行业 30 条</x:v>
      </x:c>
      <x:c r="C8" s="12" t="str">
        <x:v>共 840 条行业—指标映射</x:v>
      </x:c>
      <x:c r="D8" s="12" t="str">
        <x:v>在“行业景气指标清单”中审批</x:v>
      </x:c>
      <x:c r="E8" t="str"/>
      <x:c r="F8" t="str"/>
      <x:c r="G8" t="str"/>
      <x:c r="H8" t="str"/>
    </x:row>
    <x:row r="9" ht="46" customHeight="1">
      <x:c r="A9" s="12" t="str">
        <x:v>频率规则</x:v>
      </x:c>
      <x:c r="B9" s="12" t="str">
        <x:v>在统计对象、地区与口径正确的前提下，日频优先</x:v>
      </x:c>
      <x:c r="C9" s="12" t="str">
        <x:v>同时保留必要的周、旬、月、季频指标</x:v>
      </x:c>
      <x:c r="D9" s="12" t="str">
        <x:v>不得用高频错误指标替代低频正确指标</x:v>
      </x:c>
      <x:c r="E9" t="str"/>
      <x:c r="F9" t="str"/>
      <x:c r="G9" t="str"/>
      <x:c r="H9" t="str"/>
    </x:row>
    <x:row r="10" ht="46" customHeight="1">
      <x:c r="A10" s="12" t="str">
        <x:v>地区规则</x:v>
      </x:c>
      <x:c r="B10" s="12" t="str">
        <x:v>全国/全球目标</x:v>
      </x:c>
      <x:c r="C10" s="12" t="str">
        <x:v>不允许被单一省市、企业或国外地区静默替代</x:v>
      </x:c>
      <x:c r="D10" s="12" t="str">
        <x:v>地区代理必须明确标注</x:v>
      </x:c>
      <x:c r="E10" t="str"/>
      <x:c r="F10" t="str"/>
      <x:c r="G10" t="str"/>
      <x:c r="H10" t="str"/>
    </x:row>
    <x:row r="11" ht="46" customHeight="1">
      <x:c r="A11" s="12" t="str">
        <x:v>化工/有色</x:v>
      </x:c>
      <x:c r="B11" s="12" t="str">
        <x:v>核对中文、英文、规格、牌号、纯度、HS 编码</x:v>
      </x:c>
      <x:c r="C11" s="12" t="str">
        <x:v>已对 PTA、纯 MDI、钛白粉、维生素E、铜/铝等重点复核</x:v>
      </x:c>
      <x:c r="D11" s="12" t="str">
        <x:v>仍需数值和来源口径对账</x:v>
      </x:c>
      <x:c r="E11" t="str"/>
      <x:c r="F11" t="str"/>
      <x:c r="G11" t="str"/>
      <x:c r="H11" t="str"/>
    </x:row>
    <x:row r="12" ht="46" customHeight="1">
      <x:c r="A12" s="12" t="str">
        <x:v>更新时间</x:v>
      </x:c>
      <x:c r="B12" s="12" t="str">
        <x:v>isUpdate=1 不代表日频；updateTime 也不等于首次发布日期</x:v>
      </x:c>
      <x:c r="C12" s="12" t="str">
        <x:v>频率以 frequency 字段为准</x:v>
      </x:c>
      <x:c r="D12" s="12" t="str">
        <x:v>正式回测必须检查观测级 publishDate</x:v>
      </x:c>
      <x:c r="E12" t="str"/>
      <x:c r="F12" t="str"/>
      <x:c r="G12" t="str"/>
      <x:c r="H12" t="str"/>
    </x:row>
    <x:row r="13" ht="46" customHeight="1">
      <x:c r="A13" s="12" t="str">
        <x:v>结论边界</x:v>
      </x:c>
      <x:c r="B13" s="12" t="str">
        <x:v>“可直接替代”是元数据层结论</x:v>
      </x:c>
      <x:c r="C13" s="12" t="str">
        <x:v>尚未证明历史数值逐点一致</x:v>
      </x:c>
      <x:c r="D13" s="12" t="str">
        <x:v>下载通过项后做数值、发布时间和因子稳定性对账</x:v>
      </x:c>
      <x:c r="E13" t="str"/>
      <x:c r="F13" t="str"/>
      <x:c r="G13" t="str"/>
      <x:c r="H13" t="str"/>
    </x:row>
    <x:row r="14" ht="46" customHeight="1">
      <x:c r="A14" s="12" t="str">
        <x:v>多行业映射</x:v>
      </x:c>
      <x:c r="B14" s="12" t="str">
        <x:v>同一 UQER 指标可以对应两个或三个行业</x:v>
      </x:c>
      <x:c r="C14" s="12" t="str">
        <x:v>保留行业映射行，不按指标 ID 强制去重</x:v>
      </x:c>
      <x:c r="D14" s="12" t="str">
        <x:v>行业用途分别审批</x:v>
      </x:c>
      <x:c r="E14" t="str"/>
      <x:c r="F14" t="str"/>
      <x:c r="G14" t="str"/>
      <x:c r="H14" t="str"/>
    </x:row>
    <x:row r="15" ht="46" customHeight="1">
      <x:c r="A15" s="12" t="str">
        <x:v>审批方式</x:v>
      </x:c>
      <x:c r="B15" s="12" t="str">
        <x:v>新清单没有黄色、绿色或蓝色高亮</x:v>
      </x:c>
      <x:c r="C15" s="12" t="str">
        <x:v>请直接在“用户审批”列选择</x:v>
      </x:c>
      <x:c r="D15" s="12" t="str">
        <x:v>也可以自行高亮并写备注</x:v>
      </x:c>
      <x:c r="E15" t="str"/>
      <x:c r="F15" t="str"/>
      <x:c r="G15" t="str"/>
      <x:c r="H15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9" hidden="0" customWidth="1"/>
    <x:col min="2" max="2" width="12" hidden="0" customWidth="1"/>
    <x:col min="3" max="3" width="9" hidden="0" customWidth="1"/>
    <x:col min="4" max="4" width="10" hidden="0" customWidth="1"/>
    <x:col min="5" max="5" width="42" hidden="0" customWidth="1"/>
    <x:col min="6" max="6" width="14" hidden="0" customWidth="1"/>
    <x:col min="7" max="7" width="11" hidden="0" customWidth="1"/>
    <x:col min="8" max="8" width="10" hidden="0" customWidth="1"/>
    <x:col min="9" max="9" width="42" hidden="0" customWidth="1"/>
    <x:col min="10" max="10" width="14" hidden="0" customWidth="1"/>
    <x:col min="11" max="11" width="42" hidden="0" customWidth="1"/>
    <x:col min="12" max="12" width="7" hidden="0" customWidth="1"/>
    <x:col min="13" max="13" width="12" hidden="0" customWidth="1"/>
    <x:col min="14" max="14" width="12" hidden="0" customWidth="1"/>
    <x:col min="15" max="15" width="14" hidden="0" customWidth="1"/>
    <x:col min="16" max="16" width="10" hidden="0" customWidth="1"/>
    <x:col min="17" max="17" width="22" hidden="0" customWidth="1"/>
    <x:col min="18" max="18" width="12" hidden="0" customWidth="1"/>
    <x:col min="19" max="19" width="12" hidden="0" customWidth="1"/>
    <x:col min="20" max="20" width="9" hidden="0" customWidth="1"/>
    <x:col min="21" max="21" width="24" hidden="0" customWidth="1"/>
    <x:col min="22" max="22" width="42" hidden="0" customWidth="1"/>
    <x:col min="23" max="23" width="36" hidden="0" customWidth="1"/>
    <x:col min="24" max="24" width="50" hidden="0" customWidth="1"/>
    <x:col min="25" max="25" width="38" hidden="0" customWidth="1"/>
    <x:col min="26" max="26" width="32" hidden="0" customWidth="1"/>
    <x:col min="27" max="27" width="40" hidden="0" customWidth="1"/>
    <x:col min="28" max="28" width="24" hidden="0" customWidth="1"/>
    <x:col min="29" max="29" width="11" hidden="0" customWidth="1"/>
    <x:col min="30" max="30" width="12" hidden="0" customWidth="1"/>
  </x:cols>
  <x:sheetData>
    <x:row r="1" ht="42" customHeight="1">
      <x:c r="A1" s="9" t="str">
        <x:v>原审批颜色</x:v>
      </x:c>
      <x:c r="B1" s="9" t="str">
        <x:v>复核结论</x:v>
      </x:c>
      <x:c r="C1" s="9" t="str">
        <x:v>复核优先级</x:v>
      </x:c>
      <x:c r="D1" s="9" t="str">
        <x:v>行业代码</x:v>
      </x:c>
      <x:c r="E1" s="9" t="str">
        <x:v>原指标名称</x:v>
      </x:c>
      <x:c r="F1" s="9" t="str">
        <x:v>Wind代码</x:v>
      </x:c>
      <x:c r="G1" s="9" t="str">
        <x:v>指标职能</x:v>
      </x:c>
      <x:c r="H1" s="9" t="str">
        <x:v>计算口径</x:v>
      </x:c>
      <x:c r="I1" s="9" t="str">
        <x:v>UQER指标名称</x:v>
      </x:c>
      <x:c r="J1" s="9" t="str">
        <x:v>UQER ID</x:v>
      </x:c>
      <x:c r="K1" s="9" t="str">
        <x:v>英文名称</x:v>
      </x:c>
      <x:c r="L1" s="9" t="str">
        <x:v>频率</x:v>
      </x:c>
      <x:c r="M1" s="9" t="str">
        <x:v>单位</x:v>
      </x:c>
      <x:c r="N1" s="9" t="str">
        <x:v>统计类型</x:v>
      </x:c>
      <x:c r="O1" s="9" t="str">
        <x:v>地区</x:v>
      </x:c>
      <x:c r="P1" s="9" t="str">
        <x:v>国家</x:v>
      </x:c>
      <x:c r="Q1" s="9" t="str">
        <x:v>来源</x:v>
      </x:c>
      <x:c r="R1" s="9" t="str">
        <x:v>起始日期</x:v>
      </x:c>
      <x:c r="S1" s="9" t="str">
        <x:v>截止日期</x:v>
      </x:c>
      <x:c r="T1" s="9" t="str">
        <x:v>持续更新</x:v>
      </x:c>
      <x:c r="U1" s="9" t="str">
        <x:v>地区核对</x:v>
      </x:c>
      <x:c r="V1" s="9" t="str">
        <x:v>术语核对</x:v>
      </x:c>
      <x:c r="W1" s="9" t="str">
        <x:v>产品/口径核对</x:v>
      </x:c>
      <x:c r="X1" s="9" t="str">
        <x:v>复核理由</x:v>
      </x:c>
      <x:c r="Y1" s="9" t="str">
        <x:v>主要风险</x:v>
      </x:c>
      <x:c r="Z1" s="9" t="str">
        <x:v>建议动作</x:v>
      </x:c>
      <x:c r="AA1" s="9" t="str">
        <x:v>时点提示</x:v>
      </x:c>
      <x:c r="AB1" s="9" t="str">
        <x:v>UQER API</x:v>
      </x:c>
      <x:c r="AC1" s="9" t="str">
        <x:v>mapping_row_id</x:v>
      </x:c>
      <x:c r="AD1" s="9" t="str">
        <x:v>审批来源</x:v>
      </x:c>
    </x:row>
    <x:row r="2" ht="48" customHeight="1">
      <x:c r="A2" s="21" t="str">
        <x:v>黄色</x:v>
      </x:c>
      <x:c r="B2" s="22" t="str">
        <x:v>可直接替代</x:v>
      </x:c>
      <x:c r="C2" s="21" t="str">
        <x:v>低</x:v>
      </x:c>
      <x:c r="D2" s="21" t="str">
        <x:v>801960</x:v>
      </x:c>
      <x:c r="E2" s="13" t="str">
        <x:v>全球:现货价:原油(英国布伦特Dtd)</x:v>
      </x:c>
      <x:c r="F2" s="21" t="str">
        <x:v>S5111905</x:v>
      </x:c>
      <x:c r="G2" s="21" t="str">
        <x:v>价格</x:v>
      </x:c>
      <x:c r="H2" s="21" t="str">
        <x:v>原始值</x:v>
      </x:c>
      <x:c r="I2" s="13" t="str">
        <x:v>现货价:布伦特DTD:原油</x:v>
      </x:c>
      <x:c r="J2" s="21" t="str">
        <x:v>2020000729</x:v>
      </x:c>
      <x:c r="K2" s="13" t="str">
        <x:v>Spot Price: Brent DTD: Crude Oil</x:v>
      </x:c>
      <x:c r="L2" s="21" t="str">
        <x:v>日</x:v>
      </x:c>
      <x:c r="M2" s="21" t="str">
        <x:v>美元/桶</x:v>
      </x:c>
      <x:c r="N2" s="21" t="str">
        <x:v>当期值</x:v>
      </x:c>
      <x:c r="O2" s="21" t="str"/>
      <x:c r="P2" s="21" t="str"/>
      <x:c r="Q2" s="21" t="str">
        <x:v>ICE</x:v>
      </x:c>
      <x:c r="R2" s="21" t="str">
        <x:v>2005-01-05</x:v>
      </x:c>
      <x:c r="S2" s="21" t="str">
        <x:v>2026-08-06</x:v>
      </x:c>
      <x:c r="T2" s="21" t="n">
        <x:v>1</x:v>
      </x:c>
      <x:c r="U2" s="13" t="str">
        <x:v>目标=foreign；候选=unknown</x:v>
      </x:c>
      <x:c r="V2" s="13" t="str">
        <x:v>英文名已核对：Spot Price: Brent DTD: Crude Oil</x:v>
      </x:c>
      <x:c r="W2" s="13" t="str">
        <x:v>中文核心统计对象未见明显冲突；仍需数值对账</x:v>
      </x:c>
      <x:c r="X2" s="13" t="str">
        <x:v>元数据未发现关键冲突</x:v>
      </x:c>
      <x:c r="Y2" s="13" t="str">
        <x:v>无明显元数据冲突</x:v>
      </x:c>
      <x:c r="Z2" s="13" t="str">
        <x:v>进入数值与发布日期对账</x:v>
      </x:c>
      <x:c r="AA2" s="13" t="str">
        <x:v>元数据 isUpdate 只表示更新状态；正式回测仍须检查观测级 publishDate。</x:v>
      </x:c>
      <x:c r="AB2" s="21" t="str">
        <x:v>getEcoDataIndEnergy</x:v>
      </x:c>
      <x:c r="AC2" s="21" t="str">
        <x:v>1</x:v>
      </x:c>
      <x:c r="AD2" s="21" t="str">
        <x:v>完整候选表</x:v>
      </x:c>
    </x:row>
    <x:row r="3" ht="48" customHeight="1">
      <x:c r="A3" s="21" t="str">
        <x:v>黄色</x:v>
      </x:c>
      <x:c r="B3" s="22" t="str">
        <x:v>可直接替代</x:v>
      </x:c>
      <x:c r="C3" s="21" t="str">
        <x:v>低</x:v>
      </x:c>
      <x:c r="D3" s="21" t="str">
        <x:v>801960</x:v>
      </x:c>
      <x:c r="E3" s="13" t="str">
        <x:v>原油运输指数（BDTI）</x:v>
      </x:c>
      <x:c r="F3" s="21" t="str">
        <x:v>S0031553</x:v>
      </x:c>
      <x:c r="G3" s="21" t="str">
        <x:v>运输/流通</x:v>
      </x:c>
      <x:c r="H3" s="21" t="str">
        <x:v>指数</x:v>
      </x:c>
      <x:c r="I3" s="13" t="str">
        <x:v>波罗的海运价指数:原油(BDTI)</x:v>
      </x:c>
      <x:c r="J3" s="21" t="str">
        <x:v>2160000009</x:v>
      </x:c>
      <x:c r="K3" s="13" t="str">
        <x:v>Baltic Freight Index: Baltic Dirty Tanker Index(BDTI)</x:v>
      </x:c>
      <x:c r="L3" s="21" t="str">
        <x:v>日</x:v>
      </x:c>
      <x:c r="M3" s="21" t="str"/>
      <x:c r="N3" s="21" t="str">
        <x:v>当期值</x:v>
      </x:c>
      <x:c r="O3" s="21" t="str"/>
      <x:c r="P3" s="21" t="str">
        <x:v>中国</x:v>
      </x:c>
      <x:c r="Q3" s="21" t="str">
        <x:v>波罗的海航运交易所</x:v>
      </x:c>
      <x:c r="R3" s="21" t="str">
        <x:v>2001-12-27</x:v>
      </x:c>
      <x:c r="S3" s="21" t="str">
        <x:v>2026-08-07</x:v>
      </x:c>
      <x:c r="T3" s="21" t="n">
        <x:v>1</x:v>
      </x:c>
      <x:c r="U3" s="13" t="str">
        <x:v>目标=unknown；候选=中国（元数据 country）</x:v>
      </x:c>
      <x:c r="V3" s="13" t="str">
        <x:v>英文名已核对：Baltic Freight Index: Baltic Dirty Tanker Index(BDTI)</x:v>
      </x:c>
      <x:c r="W3" s="13" t="str">
        <x:v>中文核心统计对象未见明显冲突；仍需数值对账</x:v>
      </x:c>
      <x:c r="X3" s="13" t="str">
        <x:v>元数据未发现关键冲突</x:v>
      </x:c>
      <x:c r="Y3" s="13" t="str">
        <x:v>无明显元数据冲突</x:v>
      </x:c>
      <x:c r="Z3" s="13" t="str">
        <x:v>进入数值与发布日期对账</x:v>
      </x:c>
      <x:c r="AA3" s="13" t="str">
        <x:v>元数据 isUpdate 只表示更新状态；正式回测仍须检查观测级 publishDate。</x:v>
      </x:c>
      <x:c r="AB3" s="21" t="str">
        <x:v>getEcoDataIndTraffictransport</x:v>
      </x:c>
      <x:c r="AC3" s="21" t="str">
        <x:v>4</x:v>
      </x:c>
      <x:c r="AD3" s="21" t="str">
        <x:v>完整候选表</x:v>
      </x:c>
    </x:row>
    <x:row r="4" ht="48" customHeight="1">
      <x:c r="A4" s="21" t="str">
        <x:v>黄色</x:v>
      </x:c>
      <x:c r="B4" s="21" t="str">
        <x:v>近似替代</x:v>
      </x:c>
      <x:c r="C4" s="21" t="str">
        <x:v>高</x:v>
      </x:c>
      <x:c r="D4" s="21" t="str">
        <x:v>801960</x:v>
      </x:c>
      <x:c r="E4" s="13" t="str">
        <x:v>中海油服:钻井服务日历天使用率</x:v>
      </x:c>
      <x:c r="F4" s="21" t="str">
        <x:v>S0235576</x:v>
      </x:c>
      <x:c r="G4" s="21" t="str">
        <x:v>开工率</x:v>
      </x:c>
      <x:c r="H4" s="21" t="str">
        <x:v>比率</x:v>
      </x:c>
      <x:c r="I4" s="13" t="str">
        <x:v>中海油服:日历天使用率:钻井服务:累计值</x:v>
      </x:c>
      <x:c r="J4" s="21" t="str">
        <x:v>2020709395</x:v>
      </x:c>
      <x:c r="K4" s="13" t="str"/>
      <x:c r="L4" s="21" t="str">
        <x:v>季</x:v>
      </x:c>
      <x:c r="M4" s="21" t="str">
        <x:v>%</x:v>
      </x:c>
      <x:c r="N4" s="21" t="str">
        <x:v>累计值</x:v>
      </x:c>
      <x:c r="O4" s="21" t="str"/>
      <x:c r="P4" s="21" t="str">
        <x:v>中国</x:v>
      </x:c>
      <x:c r="Q4" s="21" t="str">
        <x:v>上市公司公告</x:v>
      </x:c>
      <x:c r="R4" s="21" t="str">
        <x:v>2007-09-30</x:v>
      </x:c>
      <x:c r="S4" s="21" t="str">
        <x:v>2024-03-31</x:v>
      </x:c>
      <x:c r="T4" s="21" t="n">
        <x:v>1</x:v>
      </x:c>
      <x:c r="U4" s="13" t="str">
        <x:v>目标=unknown；候选=中国（元数据 country）</x:v>
      </x:c>
      <x:c r="V4" s="13" t="str">
        <x:v>名称对应</x:v>
      </x:c>
      <x:c r="W4" s="13" t="str">
        <x:v>同一公司、同一钻井服务指标</x:v>
      </x:c>
      <x:c r="X4" s="13" t="str">
        <x:v>同为中海油服钻井服务日历天使用率，但 UQER 为季度累计口径且最新期止于 2024-03。</x:v>
      </x:c>
      <x:c r="Y4" s="13" t="str">
        <x:v>黄色被下调；累计口径；更新滞后</x:v>
      </x:c>
      <x:c r="Z4" s="13" t="str">
        <x:v>分开保存；通过因子稳定性检验后再使用</x:v>
      </x:c>
      <x:c r="AA4" s="13" t="str">
        <x:v>元数据 isUpdate 只表示更新状态；正式回测仍须检查观测级 publishDate。</x:v>
      </x:c>
      <x:c r="AB4" s="21" t="str">
        <x:v>getEcoDataIndEnergy</x:v>
      </x:c>
      <x:c r="AC4" s="21" t="str">
        <x:v>9</x:v>
      </x:c>
      <x:c r="AD4" s="21" t="str">
        <x:v>优先审核表</x:v>
      </x:c>
    </x:row>
    <x:row r="5" ht="48" customHeight="1">
      <x:c r="A5" s="21" t="str">
        <x:v>黄色</x:v>
      </x:c>
      <x:c r="B5" s="21" t="str">
        <x:v>近似替代</x:v>
      </x:c>
      <x:c r="C5" s="21" t="str">
        <x:v>高</x:v>
      </x:c>
      <x:c r="D5" s="21" t="str">
        <x:v>801950</x:v>
      </x:c>
      <x:c r="E5" s="13" t="str">
        <x:v>秦皇岛港:平仓价:动力末煤(Q5500,山西产)</x:v>
      </x:c>
      <x:c r="F5" s="21" t="str">
        <x:v>S5101377</x:v>
      </x:c>
      <x:c r="G5" s="21" t="str">
        <x:v>价格</x:v>
      </x:c>
      <x:c r="H5" s="21" t="str">
        <x:v>原始值</x:v>
      </x:c>
      <x:c r="I5" s="13" t="str">
        <x:v>现货交易平仓价:CCTD秦皇岛动力煤(Q5500)</x:v>
      </x:c>
      <x:c r="J5" s="21" t="str">
        <x:v>2020657630</x:v>
      </x:c>
      <x:c r="K5" s="13" t="str">
        <x:v>Exit Price(Spot): CCTD Steam Coal in Qinhuangdao (Q5500)</x:v>
      </x:c>
      <x:c r="L5" s="21" t="str">
        <x:v>周</x:v>
      </x:c>
      <x:c r="M5" s="21" t="str">
        <x:v>元/吨</x:v>
      </x:c>
      <x:c r="N5" s="21" t="str">
        <x:v>当期值</x:v>
      </x:c>
      <x:c r="O5" s="21" t="str">
        <x:v>全国</x:v>
      </x:c>
      <x:c r="P5" s="21" t="str">
        <x:v>中国</x:v>
      </x:c>
      <x:c r="Q5" s="21" t="str">
        <x:v>Datayes!</x:v>
      </x:c>
      <x:c r="R5" s="21" t="str">
        <x:v>2018-03-26</x:v>
      </x:c>
      <x:c r="S5" s="21" t="str">
        <x:v>2026-08-07</x:v>
      </x:c>
      <x:c r="T5" s="21" t="n">
        <x:v>1</x:v>
      </x:c>
      <x:c r="U5" s="13" t="str">
        <x:v>目标=local；候选=broad</x:v>
      </x:c>
      <x:c r="V5" s="13" t="str">
        <x:v>名称对应</x:v>
      </x:c>
      <x:c r="W5" s="13" t="str">
        <x:v>动力煤 Q5500 一致；产地限定缺失</x:v>
      </x:c>
      <x:c r="X5" s="13" t="str">
        <x:v>Q5500 秦皇岛平仓价一致，但 UQER 名称未限定“山西产”。</x:v>
      </x:c>
      <x:c r="Y5" s="13" t="str">
        <x:v>黄色被下调；产地口径未明确</x:v>
      </x:c>
      <x:c r="Z5" s="13" t="str">
        <x:v>分开保存；通过因子稳定性检验后再使用</x:v>
      </x:c>
      <x:c r="AA5" s="13" t="str">
        <x:v>元数据 isUpdate 只表示更新状态；正式回测仍须检查观测级 publishDate。</x:v>
      </x:c>
      <x:c r="AB5" s="21" t="str">
        <x:v>getEcoDataIndEnergy</x:v>
      </x:c>
      <x:c r="AC5" s="21" t="str">
        <x:v>10</x:v>
      </x:c>
      <x:c r="AD5" s="21" t="str">
        <x:v>完整候选表</x:v>
      </x:c>
    </x:row>
    <x:row r="6" ht="48" customHeight="1">
      <x:c r="A6" s="21" t="str">
        <x:v>黄色</x:v>
      </x:c>
      <x:c r="B6" s="21" t="str">
        <x:v>近似替代</x:v>
      </x:c>
      <x:c r="C6" s="21" t="str">
        <x:v>高</x:v>
      </x:c>
      <x:c r="D6" s="21" t="str">
        <x:v>801950</x:v>
      </x:c>
      <x:c r="E6" s="13" t="str">
        <x:v>现货离岸价(FOB):动力煤:澳大利亚纽卡斯尔/肯布拉港</x:v>
      </x:c>
      <x:c r="F6" s="21" t="str">
        <x:v>S0048348</x:v>
      </x:c>
      <x:c r="G6" s="21" t="str">
        <x:v>价格</x:v>
      </x:c>
      <x:c r="H6" s="21" t="str">
        <x:v>原始值</x:v>
      </x:c>
      <x:c r="I6" s="13" t="str">
        <x:v>离岸价(FOB):动力煤:澳大利亚纽卡斯尔港NEWCIndex(周)</x:v>
      </x:c>
      <x:c r="J6" s="21" t="str">
        <x:v>2020000630</x:v>
      </x:c>
      <x:c r="K6" s="13" t="str">
        <x:v>FOB: Steam Coal: Australia Port of Newcastle NEWC Index (W)</x:v>
      </x:c>
      <x:c r="L6" s="21" t="str">
        <x:v>周</x:v>
      </x:c>
      <x:c r="M6" s="21" t="str">
        <x:v>美元/吨</x:v>
      </x:c>
      <x:c r="N6" s="21" t="str">
        <x:v>当期值</x:v>
      </x:c>
      <x:c r="O6" s="21" t="str"/>
      <x:c r="P6" s="21" t="str">
        <x:v>澳大利亚</x:v>
      </x:c>
      <x:c r="Q6" s="21" t="str">
        <x:v>Datayes!</x:v>
      </x:c>
      <x:c r="R6" s="21" t="str">
        <x:v>2008-05-16</x:v>
      </x:c>
      <x:c r="S6" s="21" t="str">
        <x:v>2026-07-24</x:v>
      </x:c>
      <x:c r="T6" s="21" t="n">
        <x:v>1</x:v>
      </x:c>
      <x:c r="U6" s="13" t="str">
        <x:v>目标=foreign；候选=foreign</x:v>
      </x:c>
      <x:c r="V6" s="13" t="str">
        <x:v>名称对应</x:v>
      </x:c>
      <x:c r="W6" s="13" t="str">
        <x:v>动力煤 FOB 一致；仅纽卡斯尔港</x:v>
      </x:c>
      <x:c r="X6" s="13" t="str">
        <x:v>UQER 是纽卡斯尔港 NEWC 周度指数，未覆盖目标名称中的肯布拉港。</x:v>
      </x:c>
      <x:c r="Y6" s="13" t="str">
        <x:v>黄色被下调；港口范围缩窄</x:v>
      </x:c>
      <x:c r="Z6" s="13" t="str">
        <x:v>分开保存；通过因子稳定性检验后再使用</x:v>
      </x:c>
      <x:c r="AA6" s="13" t="str">
        <x:v>元数据 isUpdate 只表示更新状态；正式回测仍须检查观测级 publishDate。</x:v>
      </x:c>
      <x:c r="AB6" s="21" t="str">
        <x:v>getEcoDataIndEnergy</x:v>
      </x:c>
      <x:c r="AC6" s="21" t="str">
        <x:v>11</x:v>
      </x:c>
      <x:c r="AD6" s="21" t="str">
        <x:v>优先审核表</x:v>
      </x:c>
    </x:row>
    <x:row r="7" ht="48" customHeight="1">
      <x:c r="A7" s="23" t="str">
        <x:v>绿色</x:v>
      </x:c>
      <x:c r="B7" s="24" t="str">
        <x:v>不可替代</x:v>
      </x:c>
      <x:c r="C7" s="23" t="str">
        <x:v>高</x:v>
      </x:c>
      <x:c r="D7" s="23" t="str">
        <x:v>801050</x:v>
      </x:c>
      <x:c r="E7" s="14" t="str">
        <x:v>中国:产能:电解铝:当月值</x:v>
      </x:c>
      <x:c r="F7" s="23" t="str">
        <x:v>S9986545</x:v>
      </x:c>
      <x:c r="G7" s="23" t="str">
        <x:v>产量</x:v>
      </x:c>
      <x:c r="H7" s="23" t="str">
        <x:v>当期值</x:v>
      </x:c>
      <x:c r="I7" s="14" t="str">
        <x:v>产量:原铝(电解铝):当月值</x:v>
      </x:c>
      <x:c r="J7" s="23" t="str">
        <x:v>1020008684</x:v>
      </x:c>
      <x:c r="K7" s="14" t="str">
        <x:v>Output: Ten Kinds of Non-Ferrous Metals: Primary Aluminum (Electrolyzed Aluminum): Current Value (Month)</x:v>
      </x:c>
      <x:c r="L7" s="23" t="str">
        <x:v>月</x:v>
      </x:c>
      <x:c r="M7" s="23" t="str">
        <x:v>万吨</x:v>
      </x:c>
      <x:c r="N7" s="23" t="str">
        <x:v>当期值</x:v>
      </x:c>
      <x:c r="O7" s="23" t="str">
        <x:v>全国</x:v>
      </x:c>
      <x:c r="P7" s="23" t="str">
        <x:v>中国</x:v>
      </x:c>
      <x:c r="Q7" s="23" t="str">
        <x:v>国家统计局</x:v>
      </x:c>
      <x:c r="R7" s="23" t="str">
        <x:v>2002-04-30</x:v>
      </x:c>
      <x:c r="S7" s="23" t="str">
        <x:v>2026-06-30</x:v>
      </x:c>
      <x:c r="T7" s="23" t="n">
        <x:v>1</x:v>
      </x:c>
      <x:c r="U7" s="14" t="str">
        <x:v>目标=broad；候选=broad</x:v>
      </x:c>
      <x:c r="V7" s="14" t="str">
        <x:v>名称对应</x:v>
      </x:c>
      <x:c r="W7" s="14" t="str">
        <x:v>电解铝名称相关，但产能≠产量</x:v>
      </x:c>
      <x:c r="X7" s="14" t="str">
        <x:v>产能是生产能力，产量是实际产出；两者不能直接替代。</x:v>
      </x:c>
      <x:c r="Y7" s="14" t="str">
        <x:v>统计对象冲突</x:v>
      </x:c>
      <x:c r="Z7" s="14" t="str">
        <x:v>移出替代映射；查看更优候选</x:v>
      </x:c>
      <x:c r="AA7" s="14" t="str">
        <x:v>元数据 isUpdate 只表示更新状态；正式回测仍须检查观测级 publishDate。</x:v>
      </x:c>
      <x:c r="AB7" s="23" t="str">
        <x:v>getEcoDataChina</x:v>
      </x:c>
      <x:c r="AC7" s="23" t="str">
        <x:v>23</x:v>
      </x:c>
      <x:c r="AD7" s="23" t="str">
        <x:v>优先审核表</x:v>
      </x:c>
    </x:row>
    <x:row r="8" ht="48" customHeight="1">
      <x:c r="A8" s="23" t="str">
        <x:v>绿色</x:v>
      </x:c>
      <x:c r="B8" s="24" t="str">
        <x:v>不可替代</x:v>
      </x:c>
      <x:c r="C8" s="23" t="str">
        <x:v>高</x:v>
      </x:c>
      <x:c r="D8" s="23" t="str">
        <x:v>801050</x:v>
      </x:c>
      <x:c r="E8" s="14" t="str">
        <x:v>COMEX:库存量:铜</x:v>
      </x:c>
      <x:c r="F8" s="23" t="str">
        <x:v>S0114144</x:v>
      </x:c>
      <x:c r="G8" s="23" t="str">
        <x:v>库存</x:v>
      </x:c>
      <x:c r="H8" s="23" t="str">
        <x:v>当期值</x:v>
      </x:c>
      <x:c r="I8" s="14" t="str">
        <x:v>COMEX:精铜:持仓比重:总持仓:多头:其他</x:v>
      </x:c>
      <x:c r="J8" s="23" t="str">
        <x:v>2220006352</x:v>
      </x:c>
      <x:c r="K8" s="14" t="str">
        <x:v>COMEX: COPPER-GRADE #1: Pct of OI: Tot: Rept: Long: Other</x:v>
      </x:c>
      <x:c r="L8" s="23" t="str">
        <x:v>周</x:v>
      </x:c>
      <x:c r="M8" s="23" t="str">
        <x:v>%</x:v>
      </x:c>
      <x:c r="N8" s="23" t="str">
        <x:v>当期值</x:v>
      </x:c>
      <x:c r="O8" s="23" t="str">
        <x:v>全球</x:v>
      </x:c>
      <x:c r="P8" s="23" t="str">
        <x:v>全球</x:v>
      </x:c>
      <x:c r="Q8" s="23" t="str">
        <x:v>CFTC</x:v>
      </x:c>
      <x:c r="R8" s="23" t="str">
        <x:v>1989-07-31</x:v>
      </x:c>
      <x:c r="S8" s="23" t="str">
        <x:v>2026-08-04</x:v>
      </x:c>
      <x:c r="T8" s="23" t="n">
        <x:v>1</x:v>
      </x:c>
      <x:c r="U8" s="14" t="str">
        <x:v>目标=unknown；候选=broad</x:v>
      </x:c>
      <x:c r="V8" s="14" t="str">
        <x:v>名称对应</x:v>
      </x:c>
      <x:c r="W8" s="14" t="str">
        <x:v>精铜持仓比重≠铜库存</x:v>
      </x:c>
      <x:c r="X8" s="14" t="str">
        <x:v>COMEX 铜库存与 CFTC 多头持仓比重是不同指标。</x:v>
      </x:c>
      <x:c r="Y8" s="14" t="str">
        <x:v>统计对象冲突</x:v>
      </x:c>
      <x:c r="Z8" s="14" t="str">
        <x:v>移出替代映射；查看更优候选</x:v>
      </x:c>
      <x:c r="AA8" s="14" t="str">
        <x:v>元数据 isUpdate 只表示更新状态；正式回测仍须检查观测级 publishDate。</x:v>
      </x:c>
      <x:c r="AB8" s="23" t="str">
        <x:v>getEcoDataIndOthers</x:v>
      </x:c>
      <x:c r="AC8" s="23" t="str">
        <x:v>27</x:v>
      </x:c>
      <x:c r="AD8" s="23" t="str">
        <x:v>完整候选表</x:v>
      </x:c>
    </x:row>
    <x:row r="9" ht="48" customHeight="1">
      <x:c r="A9" s="23" t="str">
        <x:v>绿色</x:v>
      </x:c>
      <x:c r="B9" s="24" t="str">
        <x:v>不可替代</x:v>
      </x:c>
      <x:c r="C9" s="23" t="str">
        <x:v>高</x:v>
      </x:c>
      <x:c r="D9" s="23" t="str">
        <x:v>801050</x:v>
      </x:c>
      <x:c r="E9" s="14" t="str">
        <x:v>COMEX:库存量:铜</x:v>
      </x:c>
      <x:c r="F9" s="23" t="str">
        <x:v>S0114144</x:v>
      </x:c>
      <x:c r="G9" s="23" t="str">
        <x:v>库存</x:v>
      </x:c>
      <x:c r="H9" s="23" t="str">
        <x:v>当期值</x:v>
      </x:c>
      <x:c r="I9" s="14" t="str">
        <x:v>COMEX:精铜:持仓比重:总持仓:空头:其他</x:v>
      </x:c>
      <x:c r="J9" s="23" t="str">
        <x:v>2220006353</x:v>
      </x:c>
      <x:c r="K9" s="14" t="str">
        <x:v>COMEX: COPPER-GRADE #1: Pct of OI: Tot: Rept: Short: Other</x:v>
      </x:c>
      <x:c r="L9" s="23" t="str">
        <x:v>周</x:v>
      </x:c>
      <x:c r="M9" s="23" t="str">
        <x:v>%</x:v>
      </x:c>
      <x:c r="N9" s="23" t="str">
        <x:v>当期值</x:v>
      </x:c>
      <x:c r="O9" s="23" t="str">
        <x:v>全球</x:v>
      </x:c>
      <x:c r="P9" s="23" t="str">
        <x:v>全球</x:v>
      </x:c>
      <x:c r="Q9" s="23" t="str">
        <x:v>CFTC</x:v>
      </x:c>
      <x:c r="R9" s="23" t="str">
        <x:v>1989-07-31</x:v>
      </x:c>
      <x:c r="S9" s="23" t="str">
        <x:v>2026-08-04</x:v>
      </x:c>
      <x:c r="T9" s="23" t="n">
        <x:v>1</x:v>
      </x:c>
      <x:c r="U9" s="14" t="str">
        <x:v>目标=unknown；候选=broad</x:v>
      </x:c>
      <x:c r="V9" s="14" t="str">
        <x:v>名称对应</x:v>
      </x:c>
      <x:c r="W9" s="14" t="str">
        <x:v>精铜持仓比重≠铜库存</x:v>
      </x:c>
      <x:c r="X9" s="14" t="str">
        <x:v>COMEX 铜库存与 CFTC 空头持仓比重是不同指标。</x:v>
      </x:c>
      <x:c r="Y9" s="14" t="str">
        <x:v>统计对象冲突</x:v>
      </x:c>
      <x:c r="Z9" s="14" t="str">
        <x:v>移出替代映射；查看更优候选</x:v>
      </x:c>
      <x:c r="AA9" s="14" t="str">
        <x:v>元数据 isUpdate 只表示更新状态；正式回测仍须检查观测级 publishDate。</x:v>
      </x:c>
      <x:c r="AB9" s="23" t="str">
        <x:v>getEcoDataIndOthers</x:v>
      </x:c>
      <x:c r="AC9" s="23" t="str">
        <x:v>27</x:v>
      </x:c>
      <x:c r="AD9" s="23" t="str">
        <x:v>完整候选表</x:v>
      </x:c>
    </x:row>
    <x:row r="10" ht="48" customHeight="1">
      <x:c r="A10" s="23" t="str">
        <x:v>绿色</x:v>
      </x:c>
      <x:c r="B10" s="24" t="str">
        <x:v>不可替代</x:v>
      </x:c>
      <x:c r="C10" s="23" t="str">
        <x:v>高</x:v>
      </x:c>
      <x:c r="D10" s="23" t="str">
        <x:v>801050</x:v>
      </x:c>
      <x:c r="E10" s="14" t="str">
        <x:v>期货收盘价(活跃合约)COMEX黄金</x:v>
      </x:c>
      <x:c r="F10" s="23" t="str">
        <x:v>S0180903</x:v>
      </x:c>
      <x:c r="G10" s="23" t="str">
        <x:v>价格</x:v>
      </x:c>
      <x:c r="H10" s="23" t="str">
        <x:v>原始值</x:v>
      </x:c>
      <x:c r="I10" s="14" t="str">
        <x:v>COMEX:黄金:总计持仓:旧年度</x:v>
      </x:c>
      <x:c r="J10" s="23" t="str">
        <x:v>2220006414</x:v>
      </x:c>
      <x:c r="K10" s="14" t="str">
        <x:v>COMEX: GOLD: Open Interest: Old</x:v>
      </x:c>
      <x:c r="L10" s="23" t="str">
        <x:v>周</x:v>
      </x:c>
      <x:c r="M10" s="23" t="str">
        <x:v>100金衡盎司</x:v>
      </x:c>
      <x:c r="N10" s="23" t="str">
        <x:v>当期值</x:v>
      </x:c>
      <x:c r="O10" s="23" t="str">
        <x:v>全球</x:v>
      </x:c>
      <x:c r="P10" s="23" t="str">
        <x:v>全球</x:v>
      </x:c>
      <x:c r="Q10" s="23" t="str">
        <x:v>CFTC</x:v>
      </x:c>
      <x:c r="R10" s="23" t="str">
        <x:v>1989-01-13</x:v>
      </x:c>
      <x:c r="S10" s="23" t="str">
        <x:v>2026-08-04</x:v>
      </x:c>
      <x:c r="T10" s="23" t="n">
        <x:v>1</x:v>
      </x:c>
      <x:c r="U10" s="14" t="str">
        <x:v>目标=unknown；候选=broad</x:v>
      </x:c>
      <x:c r="V10" s="14" t="str">
        <x:v>名称对应</x:v>
      </x:c>
      <x:c r="W10" s="14" t="str">
        <x:v>黄金价格≠黄金持仓</x:v>
      </x:c>
      <x:c r="X10" s="14" t="str">
        <x:v>黄金期货收盘价与黄金旧年度持仓量量纲、含义均不同。</x:v>
      </x:c>
      <x:c r="Y10" s="14" t="str">
        <x:v>统计对象冲突；单位冲突</x:v>
      </x:c>
      <x:c r="Z10" s="14" t="str">
        <x:v>移出替代映射；查看更优候选</x:v>
      </x:c>
      <x:c r="AA10" s="14" t="str">
        <x:v>元数据 isUpdate 只表示更新状态；正式回测仍须检查观测级 publishDate。</x:v>
      </x:c>
      <x:c r="AB10" s="23" t="str">
        <x:v>getEcoDataIndOthers</x:v>
      </x:c>
      <x:c r="AC10" s="23" t="str">
        <x:v>30</x:v>
      </x:c>
      <x:c r="AD10" s="23" t="str">
        <x:v>完整候选表</x:v>
      </x:c>
    </x:row>
    <x:row r="11" ht="48" customHeight="1">
      <x:c r="A11" s="23" t="str">
        <x:v>绿色</x:v>
      </x:c>
      <x:c r="B11" s="24" t="str">
        <x:v>不可替代</x:v>
      </x:c>
      <x:c r="C11" s="23" t="str">
        <x:v>高</x:v>
      </x:c>
      <x:c r="D11" s="23" t="str">
        <x:v>801050</x:v>
      </x:c>
      <x:c r="E11" s="14" t="str">
        <x:v>美国:国债到期收益率:10年</x:v>
      </x:c>
      <x:c r="F11" s="23" t="str">
        <x:v>M1001791</x:v>
      </x:c>
      <x:c r="G11" s="23" t="str">
        <x:v>价格</x:v>
      </x:c>
      <x:c r="H11" s="23" t="str">
        <x:v>比率</x:v>
      </x:c>
      <x:c r="I11" s="14" t="str">
        <x:v>美国:国债收益率:10年期国债-2年期国债</x:v>
      </x:c>
      <x:c r="J11" s="23" t="str">
        <x:v>3010903755</x:v>
      </x:c>
      <x:c r="K11" s="14" t="str">
        <x:v>US: Treasury Yield Rate: 10Y Bond-2Y Bond</x:v>
      </x:c>
      <x:c r="L11" s="23" t="str">
        <x:v>日</x:v>
      </x:c>
      <x:c r="M11" s="23" t="str">
        <x:v>%</x:v>
      </x:c>
      <x:c r="N11" s="23" t="str">
        <x:v>当期值</x:v>
      </x:c>
      <x:c r="O11" s="23" t="str">
        <x:v>美国</x:v>
      </x:c>
      <x:c r="P11" s="23" t="str">
        <x:v>美国</x:v>
      </x:c>
      <x:c r="Q11" s="23" t="str">
        <x:v>圣路易斯联邦储备银行</x:v>
      </x:c>
      <x:c r="R11" s="23" t="str">
        <x:v>1976-06-01</x:v>
      </x:c>
      <x:c r="S11" s="23" t="str">
        <x:v>2026-08-07</x:v>
      </x:c>
      <x:c r="T11" s="23" t="n">
        <x:v>1</x:v>
      </x:c>
      <x:c r="U11" s="14" t="str">
        <x:v>目标=foreign；候选=foreign</x:v>
      </x:c>
      <x:c r="V11" s="14" t="str">
        <x:v>名称对应</x:v>
      </x:c>
      <x:c r="W11" s="14" t="str">
        <x:v>10Y 收益率≠10Y-2Y 利差</x:v>
      </x:c>
      <x:c r="X11" s="14" t="str">
        <x:v>目标是美国 10 年期国债收益率，候选是 10 年减 2 年期限利差。</x:v>
      </x:c>
      <x:c r="Y11" s="14" t="str">
        <x:v>期限结构口径冲突</x:v>
      </x:c>
      <x:c r="Z11" s="14" t="str">
        <x:v>移出替代映射；查看更优候选</x:v>
      </x:c>
      <x:c r="AA11" s="14" t="str">
        <x:v>元数据 isUpdate 只表示更新状态；正式回测仍须检查观测级 publishDate。</x:v>
      </x:c>
      <x:c r="AB11" s="23" t="str">
        <x:v>getEcoDataGlobeUsa</x:v>
      </x:c>
      <x:c r="AC11" s="23" t="str">
        <x:v>31</x:v>
      </x:c>
      <x:c r="AD11" s="23" t="str">
        <x:v>完整候选表</x:v>
      </x:c>
    </x:row>
    <x:row r="12" ht="48" customHeight="1">
      <x:c r="A12" s="23" t="str">
        <x:v>绿色</x:v>
      </x:c>
      <x:c r="B12" s="23" t="str">
        <x:v>近似替代</x:v>
      </x:c>
      <x:c r="C12" s="23" t="str">
        <x:v>中</x:v>
      </x:c>
      <x:c r="D12" s="23" t="str">
        <x:v>801030</x:v>
      </x:c>
      <x:c r="E12" s="14" t="str">
        <x:v>中国:现货价:钛白粉(金红石型)</x:v>
      </x:c>
      <x:c r="F12" s="23" t="str">
        <x:v>S5470446</x:v>
      </x:c>
      <x:c r="G12" s="23" t="str">
        <x:v>价格</x:v>
      </x:c>
      <x:c r="H12" s="23" t="str">
        <x:v>原始值</x:v>
      </x:c>
      <x:c r="I12" s="14" t="str">
        <x:v>市场价:钛白粉(金红石型(R2型))</x:v>
      </x:c>
      <x:c r="J12" s="23" t="str">
        <x:v>2030725762</x:v>
      </x:c>
      <x:c r="K12" s="14" t="str">
        <x:v>Market Price: Titanium Dioxide (Rutile Type (R2 Type))</x:v>
      </x:c>
      <x:c r="L12" s="23" t="str">
        <x:v>月</x:v>
      </x:c>
      <x:c r="M12" s="23" t="str">
        <x:v>元/吨</x:v>
      </x:c>
      <x:c r="N12" s="23" t="str">
        <x:v>当期值</x:v>
      </x:c>
      <x:c r="O12" s="23" t="str">
        <x:v>全国</x:v>
      </x:c>
      <x:c r="P12" s="23" t="str">
        <x:v>中国</x:v>
      </x:c>
      <x:c r="Q12" s="23" t="str">
        <x:v>Datayes!</x:v>
      </x:c>
      <x:c r="R12" s="23" t="str">
        <x:v>2018-07-31</x:v>
      </x:c>
      <x:c r="S12" s="23" t="str">
        <x:v>2026-06-30</x:v>
      </x:c>
      <x:c r="T12" s="23" t="n">
        <x:v>1</x:v>
      </x:c>
      <x:c r="U12" s="14" t="str">
        <x:v>目标=broad；候选=broad</x:v>
      </x:c>
      <x:c r="V12" s="14" t="str">
        <x:v>钛白粉=Titanium Dioxide；金红石型=Rutile Type，对应正确</x:v>
      </x:c>
      <x:c r="W12" s="14" t="str">
        <x:v>R2 型是金红石型子规格</x:v>
      </x:c>
      <x:c r="X12" s="14" t="str">
        <x:v>中英文均指 Titanium Dioxide, Rutile Type；UQER 进一步限定 R2 型且为月频市场价。</x:v>
      </x:c>
      <x:c r="Y12" s="14" t="str">
        <x:v>规格更窄；频率降低</x:v>
      </x:c>
      <x:c r="Z12" s="14" t="str">
        <x:v>分开保存；通过因子稳定性检验后再使用</x:v>
      </x:c>
      <x:c r="AA12" s="14" t="str">
        <x:v>元数据 isUpdate 只表示更新状态；正式回测仍须检查观测级 publishDate。</x:v>
      </x:c>
      <x:c r="AB12" s="23" t="str">
        <x:v>getEcoDataIndChemical</x:v>
      </x:c>
      <x:c r="AC12" s="23" t="str">
        <x:v>45</x:v>
      </x:c>
      <x:c r="AD12" s="23" t="str">
        <x:v>优先审核表</x:v>
      </x:c>
    </x:row>
    <x:row r="13" ht="48" customHeight="1">
      <x:c r="A13" s="23" t="str">
        <x:v>绿色</x:v>
      </x:c>
      <x:c r="B13" s="23" t="str">
        <x:v>近似替代</x:v>
      </x:c>
      <x:c r="C13" s="23" t="str">
        <x:v>中</x:v>
      </x:c>
      <x:c r="D13" s="23" t="str">
        <x:v>801030</x:v>
      </x:c>
      <x:c r="E13" s="14" t="str">
        <x:v>中国:参考价:纯MDI</x:v>
      </x:c>
      <x:c r="F13" s="23" t="str">
        <x:v>S9984988</x:v>
      </x:c>
      <x:c r="G13" s="23" t="str">
        <x:v>价格</x:v>
      </x:c>
      <x:c r="H13" s="23" t="str">
        <x:v>原始值</x:v>
      </x:c>
      <x:c r="I13" s="14" t="str">
        <x:v>市场价:纯MDI</x:v>
      </x:c>
      <x:c r="J13" s="23" t="str">
        <x:v>2030725900</x:v>
      </x:c>
      <x:c r="K13" s="14" t="str">
        <x:v>Market Price: Pure MDI</x:v>
      </x:c>
      <x:c r="L13" s="23" t="str">
        <x:v>月</x:v>
      </x:c>
      <x:c r="M13" s="23" t="str">
        <x:v>元/吨</x:v>
      </x:c>
      <x:c r="N13" s="23" t="str">
        <x:v>当期值</x:v>
      </x:c>
      <x:c r="O13" s="23" t="str">
        <x:v>全国</x:v>
      </x:c>
      <x:c r="P13" s="23" t="str">
        <x:v>中国</x:v>
      </x:c>
      <x:c r="Q13" s="23" t="str">
        <x:v>Datayes!</x:v>
      </x:c>
      <x:c r="R13" s="23" t="str">
        <x:v>2018-07-31</x:v>
      </x:c>
      <x:c r="S13" s="23" t="str">
        <x:v>2026-06-30</x:v>
      </x:c>
      <x:c r="T13" s="23" t="n">
        <x:v>1</x:v>
      </x:c>
      <x:c r="U13" s="14" t="str">
        <x:v>目标=broad；候选=broad</x:v>
      </x:c>
      <x:c r="V13" s="14" t="str">
        <x:v>纯 MDI=Pure MDI，对应正确</x:v>
      </x:c>
      <x:c r="W13" s="14" t="str">
        <x:v>同一化工品</x:v>
      </x:c>
      <x:c r="X13" s="14" t="str">
        <x:v>纯 MDI/Pure MDI 产品一致；参考价与市场价来源口径可能不同，且 UQER 为月频。</x:v>
      </x:c>
      <x:c r="Y13" s="14" t="str">
        <x:v>价格类型可能不同；频率降低</x:v>
      </x:c>
      <x:c r="Z13" s="14" t="str">
        <x:v>分开保存；通过因子稳定性检验后再使用</x:v>
      </x:c>
      <x:c r="AA13" s="14" t="str">
        <x:v>元数据 isUpdate 只表示更新状态；正式回测仍须检查观测级 publishDate。</x:v>
      </x:c>
      <x:c r="AB13" s="23" t="str">
        <x:v>getEcoDataIndChemical</x:v>
      </x:c>
      <x:c r="AC13" s="23" t="str">
        <x:v>52</x:v>
      </x:c>
      <x:c r="AD13" s="23" t="str">
        <x:v>完整候选表</x:v>
      </x:c>
    </x:row>
    <x:row r="14" ht="48" customHeight="1">
      <x:c r="A14" s="23" t="str">
        <x:v>绿色</x:v>
      </x:c>
      <x:c r="B14" s="23" t="str">
        <x:v>近似替代</x:v>
      </x:c>
      <x:c r="C14" s="23" t="str">
        <x:v>中</x:v>
      </x:c>
      <x:c r="D14" s="23" t="str">
        <x:v>801030</x:v>
      </x:c>
      <x:c r="E14" s="14" t="str">
        <x:v>中国:现货价:精对苯二甲酸</x:v>
      </x:c>
      <x:c r="F14" s="23" t="str">
        <x:v>S5470301</x:v>
      </x:c>
      <x:c r="G14" s="23" t="str">
        <x:v>价格</x:v>
      </x:c>
      <x:c r="H14" s="23" t="str">
        <x:v>原始值</x:v>
      </x:c>
      <x:c r="I14" s="14" t="str">
        <x:v>市场价:精对苯二甲酸(优等品)</x:v>
      </x:c>
      <x:c r="J14" s="23" t="str">
        <x:v>2030725832</x:v>
      </x:c>
      <x:c r="K14" s="14" t="str">
        <x:v>Market Price: Purified Terephthalic Acid (Premium)</x:v>
      </x:c>
      <x:c r="L14" s="23" t="str">
        <x:v>月</x:v>
      </x:c>
      <x:c r="M14" s="23" t="str">
        <x:v>元/吨</x:v>
      </x:c>
      <x:c r="N14" s="23" t="str">
        <x:v>当期值</x:v>
      </x:c>
      <x:c r="O14" s="23" t="str">
        <x:v>全国</x:v>
      </x:c>
      <x:c r="P14" s="23" t="str">
        <x:v>中国</x:v>
      </x:c>
      <x:c r="Q14" s="23" t="str">
        <x:v>Datayes!</x:v>
      </x:c>
      <x:c r="R14" s="23" t="str">
        <x:v>2018-07-31</x:v>
      </x:c>
      <x:c r="S14" s="23" t="str">
        <x:v>2026-06-30</x:v>
      </x:c>
      <x:c r="T14" s="23" t="n">
        <x:v>1</x:v>
      </x:c>
      <x:c r="U14" s="14" t="str">
        <x:v>目标=broad；候选=broad</x:v>
      </x:c>
      <x:c r="V14" s="14" t="str">
        <x:v>精对苯二甲酸=Purified Terephthalic Acid，对应正确</x:v>
      </x:c>
      <x:c r="W14" s="14" t="str">
        <x:v>同为 PTA；UQER 限定优等品</x:v>
      </x:c>
      <x:c r="X14" s="14" t="str">
        <x:v>精对苯二甲酸对应 Purified Terephthalic Acid (PTA)；UQER 限定优等品且为月频市场价。</x:v>
      </x:c>
      <x:c r="Y14" s="14" t="str">
        <x:v>等级更窄；频率降低</x:v>
      </x:c>
      <x:c r="Z14" s="14" t="str">
        <x:v>分开保存；通过因子稳定性检验后再使用</x:v>
      </x:c>
      <x:c r="AA14" s="14" t="str">
        <x:v>元数据 isUpdate 只表示更新状态；正式回测仍须检查观测级 publishDate。</x:v>
      </x:c>
      <x:c r="AB14" s="23" t="str">
        <x:v>getEcoDataIndChemical</x:v>
      </x:c>
      <x:c r="AC14" s="23" t="str">
        <x:v>58</x:v>
      </x:c>
      <x:c r="AD14" s="23" t="str">
        <x:v>优先审核表</x:v>
      </x:c>
    </x:row>
    <x:row r="15" ht="48" customHeight="1">
      <x:c r="A15" s="23" t="str">
        <x:v>绿色</x:v>
      </x:c>
      <x:c r="B15" s="24" t="str">
        <x:v>不可替代</x:v>
      </x:c>
      <x:c r="C15" s="23" t="str">
        <x:v>高</x:v>
      </x:c>
      <x:c r="D15" s="23" t="str">
        <x:v>801030</x:v>
      </x:c>
      <x:c r="E15" s="14" t="str">
        <x:v>中国:库存天数:涤纶长丝(POY):江浙织机</x:v>
      </x:c>
      <x:c r="F15" s="23" t="str">
        <x:v>S5428996</x:v>
      </x:c>
      <x:c r="G15" s="23" t="str">
        <x:v>库存</x:v>
      </x:c>
      <x:c r="H15" s="23" t="str">
        <x:v>当期值</x:v>
      </x:c>
      <x:c r="I15" s="14" t="str">
        <x:v>市场价:涤纶长丝(POY150D/48)</x:v>
      </x:c>
      <x:c r="J15" s="23" t="str">
        <x:v>2030725912</x:v>
      </x:c>
      <x:c r="K15" s="14" t="str">
        <x:v>Market Price: Polyester Filament (POY150D / 48)</x:v>
      </x:c>
      <x:c r="L15" s="23" t="str">
        <x:v>月</x:v>
      </x:c>
      <x:c r="M15" s="23" t="str">
        <x:v>元/吨</x:v>
      </x:c>
      <x:c r="N15" s="23" t="str">
        <x:v>当期值</x:v>
      </x:c>
      <x:c r="O15" s="23" t="str">
        <x:v>全国</x:v>
      </x:c>
      <x:c r="P15" s="23" t="str">
        <x:v>中国</x:v>
      </x:c>
      <x:c r="Q15" s="23" t="str">
        <x:v>Datayes!</x:v>
      </x:c>
      <x:c r="R15" s="23" t="str">
        <x:v>2018-07-31</x:v>
      </x:c>
      <x:c r="S15" s="23" t="str">
        <x:v>2026-06-30</x:v>
      </x:c>
      <x:c r="T15" s="23" t="n">
        <x:v>1</x:v>
      </x:c>
      <x:c r="U15" s="14" t="str">
        <x:v>目标=broad；候选=broad</x:v>
      </x:c>
      <x:c r="V15" s="14" t="str">
        <x:v>POY 产品相关，但库存天数与价格不同</x:v>
      </x:c>
      <x:c r="W15" s="14" t="str">
        <x:v>库存天数≠市场价格</x:v>
      </x:c>
      <x:c r="X15" s="14" t="str">
        <x:v>目标是江浙织机 POY 库存天数，候选是 POY150D/48 市场价格。</x:v>
      </x:c>
      <x:c r="Y15" s="14" t="str">
        <x:v>统计对象冲突</x:v>
      </x:c>
      <x:c r="Z15" s="14" t="str">
        <x:v>移出替代映射；查看更优候选</x:v>
      </x:c>
      <x:c r="AA15" s="14" t="str">
        <x:v>元数据 isUpdate 只表示更新状态；正式回测仍须检查观测级 publishDate。</x:v>
      </x:c>
      <x:c r="AB15" s="23" t="str">
        <x:v>getEcoDataIndChemical</x:v>
      </x:c>
      <x:c r="AC15" s="23" t="str">
        <x:v>60</x:v>
      </x:c>
      <x:c r="AD15" s="23" t="str">
        <x:v>完整候选表</x:v>
      </x:c>
    </x:row>
    <x:row r="16" ht="48" customHeight="1">
      <x:c r="A16" s="25" t="str">
        <x:v>蓝色</x:v>
      </x:c>
      <x:c r="B16" s="25" t="str">
        <x:v>仅补充</x:v>
      </x:c>
      <x:c r="C16" s="25" t="str">
        <x:v>中</x:v>
      </x:c>
      <x:c r="D16" s="25" t="str">
        <x:v>801030</x:v>
      </x:c>
      <x:c r="E16" s="15" t="str">
        <x:v>中国:江浙地区:开工率:涤纶长丝</x:v>
      </x:c>
      <x:c r="F16" s="25" t="str">
        <x:v>S5446172</x:v>
      </x:c>
      <x:c r="G16" s="25" t="str">
        <x:v>开工率</x:v>
      </x:c>
      <x:c r="H16" s="25" t="str">
        <x:v>比率</x:v>
      </x:c>
      <x:c r="I16" s="15" t="str">
        <x:v>涤纶长丝:产量</x:v>
      </x:c>
      <x:c r="J16" s="25" t="str">
        <x:v>2030019289</x:v>
      </x:c>
      <x:c r="K16" s="15" t="str">
        <x:v>Output: Polyester Filament: Current Value (Month)</x:v>
      </x:c>
      <x:c r="L16" s="25" t="str">
        <x:v>月</x:v>
      </x:c>
      <x:c r="M16" s="25" t="str">
        <x:v>万吨</x:v>
      </x:c>
      <x:c r="N16" s="25" t="str">
        <x:v>当期值</x:v>
      </x:c>
      <x:c r="O16" s="25" t="str">
        <x:v>全国</x:v>
      </x:c>
      <x:c r="P16" s="25" t="str">
        <x:v>中国</x:v>
      </x:c>
      <x:c r="Q16" s="25" t="str">
        <x:v>中纤网</x:v>
      </x:c>
      <x:c r="R16" s="25" t="str">
        <x:v>2013-01-31</x:v>
      </x:c>
      <x:c r="S16" s="25" t="str">
        <x:v>2024-03-31</x:v>
      </x:c>
      <x:c r="T16" s="25" t="n">
        <x:v>1</x:v>
      </x:c>
      <x:c r="U16" s="15" t="str">
        <x:v>目标=broad；候选=broad</x:v>
      </x:c>
      <x:c r="V16" s="15" t="str">
        <x:v>名称对应</x:v>
      </x:c>
      <x:c r="W16" s="15" t="str">
        <x:v>产量是供给结果，开工率是产能利用状态</x:v>
      </x:c>
      <x:c r="X16" s="15" t="str">
        <x:v>涤纶长丝产量可作为供给补充，但不能代替江浙地区开工率。</x:v>
      </x:c>
      <x:c r="Y16" s="15" t="str">
        <x:v>统计对象不同；全国与地区口径不同</x:v>
      </x:c>
      <x:c r="Z16" s="15" t="str">
        <x:v>作为新增解释变量，不替换原序列</x:v>
      </x:c>
      <x:c r="AA16" s="15" t="str">
        <x:v>元数据 isUpdate 只表示更新状态；正式回测仍须检查观测级 publishDate。</x:v>
      </x:c>
      <x:c r="AB16" s="25" t="str">
        <x:v>getEcoDataIndChemical</x:v>
      </x:c>
      <x:c r="AC16" s="25" t="str">
        <x:v>61</x:v>
      </x:c>
      <x:c r="AD16" s="25" t="str">
        <x:v>完整候选表</x:v>
      </x:c>
    </x:row>
    <x:row r="17" ht="48" customHeight="1">
      <x:c r="A17" s="25" t="str">
        <x:v>蓝色</x:v>
      </x:c>
      <x:c r="B17" s="25" t="str">
        <x:v>仅补充</x:v>
      </x:c>
      <x:c r="C17" s="25" t="str">
        <x:v>中</x:v>
      </x:c>
      <x:c r="D17" s="25" t="str">
        <x:v>801030</x:v>
      </x:c>
      <x:c r="E17" s="15" t="str">
        <x:v>中国:华东地区:市场价(平均价):涤纶长丝(POY150D/48F)</x:v>
      </x:c>
      <x:c r="F17" s="25" t="str">
        <x:v>S5442372</x:v>
      </x:c>
      <x:c r="G17" s="25" t="str">
        <x:v>价格</x:v>
      </x:c>
      <x:c r="H17" s="25" t="str">
        <x:v>原始值</x:v>
      </x:c>
      <x:c r="I17" s="15" t="str">
        <x:v>市场价:涤纶长丝(POY150D/48)</x:v>
      </x:c>
      <x:c r="J17" s="25" t="str">
        <x:v>2030725912</x:v>
      </x:c>
      <x:c r="K17" s="15" t="str">
        <x:v>Market Price: Polyester Filament (POY150D / 48)</x:v>
      </x:c>
      <x:c r="L17" s="25" t="str">
        <x:v>月</x:v>
      </x:c>
      <x:c r="M17" s="25" t="str">
        <x:v>元/吨</x:v>
      </x:c>
      <x:c r="N17" s="25" t="str">
        <x:v>当期值</x:v>
      </x:c>
      <x:c r="O17" s="25" t="str">
        <x:v>全国</x:v>
      </x:c>
      <x:c r="P17" s="25" t="str">
        <x:v>中国</x:v>
      </x:c>
      <x:c r="Q17" s="25" t="str">
        <x:v>Datayes!</x:v>
      </x:c>
      <x:c r="R17" s="25" t="str">
        <x:v>2018-07-31</x:v>
      </x:c>
      <x:c r="S17" s="25" t="str">
        <x:v>2026-06-30</x:v>
      </x:c>
      <x:c r="T17" s="25" t="n">
        <x:v>1</x:v>
      </x:c>
      <x:c r="U17" s="15" t="str">
        <x:v>目标=broad；候选=broad</x:v>
      </x:c>
      <x:c r="V17" s="15" t="str">
        <x:v>POY150D/48 与 POY150D/48F 基本对应，F 表示丝束根数</x:v>
      </x:c>
      <x:c r="W17" s="15" t="str">
        <x:v>同类规格，区域口径不同</x:v>
      </x:c>
      <x:c r="X17" s="15" t="str">
        <x:v>产品规格 POY150D/48 基本对应，但全国月频市场价不能完全替代华东/江浙地区平均价。</x:v>
      </x:c>
      <x:c r="Y17" s="15" t="str">
        <x:v>地区口径不同；频率降低</x:v>
      </x:c>
      <x:c r="Z17" s="15" t="str">
        <x:v>作为新增解释变量，不替换原序列</x:v>
      </x:c>
      <x:c r="AA17" s="15" t="str">
        <x:v>元数据 isUpdate 只表示更新状态；正式回测仍须检查观测级 publishDate。</x:v>
      </x:c>
      <x:c r="AB17" s="25" t="str">
        <x:v>getEcoDataIndChemical</x:v>
      </x:c>
      <x:c r="AC17" s="25" t="str">
        <x:v>62</x:v>
      </x:c>
      <x:c r="AD17" s="25" t="str">
        <x:v>优先审核表</x:v>
      </x:c>
    </x:row>
    <x:row r="18" ht="48" customHeight="1">
      <x:c r="A18" s="21" t="str">
        <x:v>黄色</x:v>
      </x:c>
      <x:c r="B18" s="22" t="str">
        <x:v>可直接替代</x:v>
      </x:c>
      <x:c r="C18" s="21" t="str">
        <x:v>低</x:v>
      </x:c>
      <x:c r="D18" s="21" t="str">
        <x:v>801040</x:v>
      </x:c>
      <x:c r="E18" s="13" t="str">
        <x:v>中国:港口库存量:铁矿石</x:v>
      </x:c>
      <x:c r="F18" s="21" t="str">
        <x:v>S0110152</x:v>
      </x:c>
      <x:c r="G18" s="21" t="str">
        <x:v>库存</x:v>
      </x:c>
      <x:c r="H18" s="21" t="str">
        <x:v>当期值</x:v>
      </x:c>
      <x:c r="I18" s="13" t="str">
        <x:v>港口库存量:铁矿石:合计:期末值</x:v>
      </x:c>
      <x:c r="J18" s="21" t="str">
        <x:v>2040703677</x:v>
      </x:c>
      <x:c r="K18" s="13" t="str">
        <x:v>Port Inventory: Iron Ore: Total: End of Period Value</x:v>
      </x:c>
      <x:c r="L18" s="21" t="str">
        <x:v>周</x:v>
      </x:c>
      <x:c r="M18" s="21" t="str">
        <x:v>万吨</x:v>
      </x:c>
      <x:c r="N18" s="21" t="str">
        <x:v>期末值</x:v>
      </x:c>
      <x:c r="O18" s="21" t="str">
        <x:v>全国</x:v>
      </x:c>
      <x:c r="P18" s="21" t="str">
        <x:v>中国</x:v>
      </x:c>
      <x:c r="Q18" s="21" t="str">
        <x:v>Datayes!</x:v>
      </x:c>
      <x:c r="R18" s="21" t="str">
        <x:v>2021-05-05</x:v>
      </x:c>
      <x:c r="S18" s="21" t="str">
        <x:v>2026-08-05</x:v>
      </x:c>
      <x:c r="T18" s="21" t="n">
        <x:v>1</x:v>
      </x:c>
      <x:c r="U18" s="13" t="str">
        <x:v>目标=broad；候选=broad</x:v>
      </x:c>
      <x:c r="V18" s="13" t="str">
        <x:v>英文名已核对：Port Inventory: Iron Ore: Total: End of Period Value</x:v>
      </x:c>
      <x:c r="W18" s="13" t="str">
        <x:v>中文核心统计对象未见明显冲突；仍需数值对账</x:v>
      </x:c>
      <x:c r="X18" s="13" t="str">
        <x:v>元数据未发现关键冲突</x:v>
      </x:c>
      <x:c r="Y18" s="13" t="str">
        <x:v>无明显元数据冲突</x:v>
      </x:c>
      <x:c r="Z18" s="13" t="str">
        <x:v>进入数值与发布日期对账</x:v>
      </x:c>
      <x:c r="AA18" s="13" t="str">
        <x:v>元数据 isUpdate 只表示更新状态；正式回测仍须检查观测级 publishDate。</x:v>
      </x:c>
      <x:c r="AB18" s="21" t="str">
        <x:v>getEcoDataIndSteel</x:v>
      </x:c>
      <x:c r="AC18" s="21" t="str">
        <x:v>72</x:v>
      </x:c>
      <x:c r="AD18" s="21" t="str">
        <x:v>优先审核表</x:v>
      </x:c>
    </x:row>
    <x:row r="19" ht="48" customHeight="1">
      <x:c r="A19" s="21" t="str">
        <x:v>黄色</x:v>
      </x:c>
      <x:c r="B19" s="21" t="str">
        <x:v>仅补充</x:v>
      </x:c>
      <x:c r="C19" s="21" t="str">
        <x:v>高</x:v>
      </x:c>
      <x:c r="D19" s="21" t="str">
        <x:v>801040</x:v>
      </x:c>
      <x:c r="E19" s="13" t="str">
        <x:v>中国:价格:螺纹钢(HRB400E,20mm)</x:v>
      </x:c>
      <x:c r="F19" s="21" t="str">
        <x:v>S5707798</x:v>
      </x:c>
      <x:c r="G19" s="21" t="str">
        <x:v>价格</x:v>
      </x:c>
      <x:c r="H19" s="21" t="str">
        <x:v>原始值</x:v>
      </x:c>
      <x:c r="I19" s="13" t="str">
        <x:v>生产资料价格:钢材:螺纹钢:Φ20mmHRB400E:环比</x:v>
      </x:c>
      <x:c r="J19" s="21" t="str">
        <x:v>1040005377</x:v>
      </x:c>
      <x:c r="K19" s="13" t="str">
        <x:v>Price of Means of Production: Steel: Rebar: Φ20mmHRB400E: MoM</x:v>
      </x:c>
      <x:c r="L19" s="21" t="str">
        <x:v>月</x:v>
      </x:c>
      <x:c r="M19" s="21" t="str">
        <x:v>%</x:v>
      </x:c>
      <x:c r="N19" s="21" t="str">
        <x:v>当期环比</x:v>
      </x:c>
      <x:c r="O19" s="21" t="str">
        <x:v>全国</x:v>
      </x:c>
      <x:c r="P19" s="21" t="str">
        <x:v>中国</x:v>
      </x:c>
      <x:c r="Q19" s="21" t="str">
        <x:v>发改委</x:v>
      </x:c>
      <x:c r="R19" s="21" t="str">
        <x:v>2015-05-31</x:v>
      </x:c>
      <x:c r="S19" s="21" t="str">
        <x:v>2026-06-30</x:v>
      </x:c>
      <x:c r="T19" s="21" t="n">
        <x:v>1</x:v>
      </x:c>
      <x:c r="U19" s="13" t="str">
        <x:v>目标=broad；候选=broad</x:v>
      </x:c>
      <x:c r="V19" s="13" t="str">
        <x:v>名称对应</x:v>
      </x:c>
      <x:c r="W19" s="13" t="str">
        <x:v>螺纹钢牌号与直径一致；环比≠价格原值</x:v>
      </x:c>
      <x:c r="X19" s="13" t="str">
        <x:v>产品规格 Φ20mm HRB400E 完全对应，但候选是环比百分比，不是价格水平。</x:v>
      </x:c>
      <x:c r="Y19" s="13" t="str">
        <x:v>黄色被下调；统计口径冲突</x:v>
      </x:c>
      <x:c r="Z19" s="13" t="str">
        <x:v>作为新增解释变量，不替换原序列</x:v>
      </x:c>
      <x:c r="AA19" s="13" t="str">
        <x:v>元数据 isUpdate 只表示更新状态；正式回测仍须检查观测级 publishDate。</x:v>
      </x:c>
      <x:c r="AB19" s="21" t="str">
        <x:v>getEcoDataChina</x:v>
      </x:c>
      <x:c r="AC19" s="21" t="str">
        <x:v>73</x:v>
      </x:c>
      <x:c r="AD19" s="21" t="str">
        <x:v>优先审核表</x:v>
      </x:c>
    </x:row>
    <x:row r="20" ht="48" customHeight="1">
      <x:c r="A20" s="21" t="str">
        <x:v>黄色</x:v>
      </x:c>
      <x:c r="B20" s="21" t="str">
        <x:v>仅补充</x:v>
      </x:c>
      <x:c r="C20" s="21" t="str">
        <x:v>高</x:v>
      </x:c>
      <x:c r="D20" s="21" t="str">
        <x:v>801040</x:v>
      </x:c>
      <x:c r="E20" s="13" t="str">
        <x:v>中国:出口数量:不锈钢:当月值</x:v>
      </x:c>
      <x:c r="F20" s="21" t="str">
        <x:v>K1215458</x:v>
      </x:c>
      <x:c r="G20" s="21" t="str">
        <x:v>需求</x:v>
      </x:c>
      <x:c r="H20" s="21" t="str">
        <x:v>当期值</x:v>
      </x:c>
      <x:c r="I20" s="13" t="str">
        <x:v>出口数量:不锈钢丝(7223):当月值</x:v>
      </x:c>
      <x:c r="J20" s="21" t="str">
        <x:v>2040201927</x:v>
      </x:c>
      <x:c r="K20" s="13" t="str">
        <x:v>Export Quantity: Stainless Steel Wire(7223): Current Month Value</x:v>
      </x:c>
      <x:c r="L20" s="21" t="str">
        <x:v>月</x:v>
      </x:c>
      <x:c r="M20" s="21" t="str">
        <x:v>千克</x:v>
      </x:c>
      <x:c r="N20" s="21" t="str">
        <x:v>当期值</x:v>
      </x:c>
      <x:c r="O20" s="21" t="str"/>
      <x:c r="P20" s="21" t="str">
        <x:v>中国</x:v>
      </x:c>
      <x:c r="Q20" s="21" t="str">
        <x:v>海关总署</x:v>
      </x:c>
      <x:c r="R20" s="21" t="str">
        <x:v>2010-01-31</x:v>
      </x:c>
      <x:c r="S20" s="21" t="str">
        <x:v>2026-06-30</x:v>
      </x:c>
      <x:c r="T20" s="21" t="n">
        <x:v>1</x:v>
      </x:c>
      <x:c r="U20" s="13" t="str">
        <x:v>目标=broad；候选=中国（元数据 country）</x:v>
      </x:c>
      <x:c r="V20" s="13" t="str">
        <x:v>名称对应</x:v>
      </x:c>
      <x:c r="W20" s="13" t="str">
        <x:v>不锈钢丝(HS 7223)是不锈钢子项</x:v>
      </x:c>
      <x:c r="X20" s="13" t="str">
        <x:v>HS 7223 仅是不锈钢丝，不能代表全部不锈钢出口数量。</x:v>
      </x:c>
      <x:c r="Y20" s="13" t="str">
        <x:v>黄色被下调；产品范围缩窄</x:v>
      </x:c>
      <x:c r="Z20" s="13" t="str">
        <x:v>作为新增解释变量，不替换原序列</x:v>
      </x:c>
      <x:c r="AA20" s="13" t="str">
        <x:v>元数据 isUpdate 只表示更新状态；正式回测仍须检查观测级 publishDate。</x:v>
      </x:c>
      <x:c r="AB20" s="21" t="str">
        <x:v>getEcoDataIndSteel</x:v>
      </x:c>
      <x:c r="AC20" s="21" t="str">
        <x:v>78</x:v>
      </x:c>
      <x:c r="AD20" s="21" t="str">
        <x:v>优先审核表</x:v>
      </x:c>
    </x:row>
    <x:row r="21" ht="48" customHeight="1">
      <x:c r="A21" s="23" t="str">
        <x:v>绿色</x:v>
      </x:c>
      <x:c r="B21" s="23" t="str">
        <x:v>近似替代</x:v>
      </x:c>
      <x:c r="C21" s="23" t="str">
        <x:v>中</x:v>
      </x:c>
      <x:c r="D21" s="23" t="str">
        <x:v>801710</x:v>
      </x:c>
      <x:c r="E21" s="14" t="str">
        <x:v>中国:库容比:水泥:当周值</x:v>
      </x:c>
      <x:c r="F21" s="23" t="str">
        <x:v>V5932139</x:v>
      </x:c>
      <x:c r="G21" s="23" t="str">
        <x:v>库存</x:v>
      </x:c>
      <x:c r="H21" s="23" t="str">
        <x:v>比率</x:v>
      </x:c>
      <x:c r="I21" s="14" t="str">
        <x:v>熟料库容比:全国:当周值</x:v>
      </x:c>
      <x:c r="J21" s="23" t="str">
        <x:v>2060809207</x:v>
      </x:c>
      <x:c r="K21" s="14" t="str">
        <x:v>Clinker Capacity Than: Country: The Week Value</x:v>
      </x:c>
      <x:c r="L21" s="23" t="str">
        <x:v>周</x:v>
      </x:c>
      <x:c r="M21" s="23" t="str">
        <x:v>%</x:v>
      </x:c>
      <x:c r="N21" s="23" t="str">
        <x:v>当期值</x:v>
      </x:c>
      <x:c r="O21" s="23" t="str">
        <x:v>中国</x:v>
      </x:c>
      <x:c r="P21" s="23" t="str">
        <x:v>中国</x:v>
      </x:c>
      <x:c r="Q21" s="23" t="str">
        <x:v>Datayes!</x:v>
      </x:c>
      <x:c r="R21" s="23" t="str">
        <x:v>2013-08-02</x:v>
      </x:c>
      <x:c r="S21" s="23" t="str">
        <x:v>2025-11-28</x:v>
      </x:c>
      <x:c r="T21" s="23" t="n">
        <x:v>1</x:v>
      </x:c>
      <x:c r="U21" s="14" t="str">
        <x:v>目标=broad；候选=broad</x:v>
      </x:c>
      <x:c r="V21" s="14" t="str">
        <x:v>名称对应</x:v>
      </x:c>
      <x:c r="W21" s="14" t="str">
        <x:v>熟料库容比是水泥行业上游库存代理</x:v>
      </x:c>
      <x:c r="X21" s="14" t="str">
        <x:v>熟料是水泥生产的中间品，熟料库容比可作水泥库存压力代理，但不是水泥库容比本身。</x:v>
      </x:c>
      <x:c r="Y21" s="14" t="str">
        <x:v>产品层级不同</x:v>
      </x:c>
      <x:c r="Z21" s="14" t="str">
        <x:v>分开保存；通过因子稳定性检验后再使用</x:v>
      </x:c>
      <x:c r="AA21" s="14" t="str">
        <x:v>元数据 isUpdate 只表示更新状态；正式回测仍须检查观测级 publishDate。</x:v>
      </x:c>
      <x:c r="AB21" s="23" t="str">
        <x:v>getEcoDataIndBuildingmaterials</x:v>
      </x:c>
      <x:c r="AC21" s="23" t="str">
        <x:v>81</x:v>
      </x:c>
      <x:c r="AD21" s="23" t="str">
        <x:v>完整候选表</x:v>
      </x:c>
    </x:row>
    <x:row r="22" ht="48" customHeight="1">
      <x:c r="A22" s="21" t="str">
        <x:v>黄色</x:v>
      </x:c>
      <x:c r="B22" s="22" t="str">
        <x:v>可直接替代</x:v>
      </x:c>
      <x:c r="C22" s="21" t="str">
        <x:v>低</x:v>
      </x:c>
      <x:c r="D22" s="21" t="str">
        <x:v>801710</x:v>
      </x:c>
      <x:c r="E22" s="13" t="str">
        <x:v>中国:水泥价格指数</x:v>
      </x:c>
      <x:c r="F22" s="21" t="str">
        <x:v>S5914515</x:v>
      </x:c>
      <x:c r="G22" s="21" t="str">
        <x:v>价格</x:v>
      </x:c>
      <x:c r="H22" s="21" t="str">
        <x:v>指数</x:v>
      </x:c>
      <x:c r="I22" s="13" t="str">
        <x:v>水泥价格指数:全国</x:v>
      </x:c>
      <x:c r="J22" s="21" t="str">
        <x:v>2060001061</x:v>
      </x:c>
      <x:c r="K22" s="13" t="str">
        <x:v>Price Index of Cement:National</x:v>
      </x:c>
      <x:c r="L22" s="21" t="str">
        <x:v>日</x:v>
      </x:c>
      <x:c r="M22" s="21" t="str">
        <x:v>点</x:v>
      </x:c>
      <x:c r="N22" s="21" t="str">
        <x:v>当期值</x:v>
      </x:c>
      <x:c r="O22" s="21" t="str"/>
      <x:c r="P22" s="21" t="str">
        <x:v>中国</x:v>
      </x:c>
      <x:c r="Q22" s="21" t="str">
        <x:v>中国水泥网</x:v>
      </x:c>
      <x:c r="R22" s="21" t="str">
        <x:v>2013-08-01</x:v>
      </x:c>
      <x:c r="S22" s="21" t="str">
        <x:v>2026-08-06</x:v>
      </x:c>
      <x:c r="T22" s="21" t="n">
        <x:v>1</x:v>
      </x:c>
      <x:c r="U22" s="13" t="str">
        <x:v>目标=broad；候选=broad</x:v>
      </x:c>
      <x:c r="V22" s="13" t="str">
        <x:v>英文名已核对：Price Index of Cement:National</x:v>
      </x:c>
      <x:c r="W22" s="13" t="str">
        <x:v>中文核心统计对象未见明显冲突；仍需数值对账</x:v>
      </x:c>
      <x:c r="X22" s="13" t="str">
        <x:v>元数据未发现关键冲突</x:v>
      </x:c>
      <x:c r="Y22" s="13" t="str">
        <x:v>无明显元数据冲突</x:v>
      </x:c>
      <x:c r="Z22" s="13" t="str">
        <x:v>进入数值与发布日期对账</x:v>
      </x:c>
      <x:c r="AA22" s="13" t="str">
        <x:v>元数据 isUpdate 只表示更新状态；正式回测仍须检查观测级 publishDate。</x:v>
      </x:c>
      <x:c r="AB22" s="21" t="str">
        <x:v>getEcoDataIndBuildingmaterials</x:v>
      </x:c>
      <x:c r="AC22" s="21" t="str">
        <x:v>82</x:v>
      </x:c>
      <x:c r="AD22" s="21" t="str">
        <x:v>完整候选表</x:v>
      </x:c>
    </x:row>
    <x:row r="23" ht="48" customHeight="1">
      <x:c r="A23" s="21" t="str">
        <x:v>黄色</x:v>
      </x:c>
      <x:c r="B23" s="21" t="str">
        <x:v>仅补充</x:v>
      </x:c>
      <x:c r="C23" s="21" t="str">
        <x:v>高</x:v>
      </x:c>
      <x:c r="D23" s="21" t="str">
        <x:v>801710</x:v>
      </x:c>
      <x:c r="E23" s="13" t="str">
        <x:v>中国:市场价:浮法平板玻璃(4.8/5mm)</x:v>
      </x:c>
      <x:c r="F23" s="21" t="str">
        <x:v>S5914490</x:v>
      </x:c>
      <x:c r="G23" s="21" t="str">
        <x:v>价格</x:v>
      </x:c>
      <x:c r="H23" s="21" t="str">
        <x:v>原始值</x:v>
      </x:c>
      <x:c r="I23" s="13" t="str">
        <x:v>生产资料价格:建材:浮法平板玻璃:5mm:环比</x:v>
      </x:c>
      <x:c r="J23" s="21" t="str">
        <x:v>1040005437</x:v>
      </x:c>
      <x:c r="K23" s="13" t="str">
        <x:v>Price of Means of Production: Building Materials: Float Glass: 5mm: MoM</x:v>
      </x:c>
      <x:c r="L23" s="21" t="str">
        <x:v>月</x:v>
      </x:c>
      <x:c r="M23" s="21" t="str">
        <x:v>%</x:v>
      </x:c>
      <x:c r="N23" s="21" t="str">
        <x:v>当期环比</x:v>
      </x:c>
      <x:c r="O23" s="21" t="str">
        <x:v>全国</x:v>
      </x:c>
      <x:c r="P23" s="21" t="str">
        <x:v>中国</x:v>
      </x:c>
      <x:c r="Q23" s="21" t="str">
        <x:v>发改委</x:v>
      </x:c>
      <x:c r="R23" s="21" t="str">
        <x:v>2015-05-31</x:v>
      </x:c>
      <x:c r="S23" s="21" t="str">
        <x:v>2026-06-30</x:v>
      </x:c>
      <x:c r="T23" s="21" t="n">
        <x:v>1</x:v>
      </x:c>
      <x:c r="U23" s="13" t="str">
        <x:v>目标=broad；候选=broad</x:v>
      </x:c>
      <x:c r="V23" s="13" t="str">
        <x:v>名称对应</x:v>
      </x:c>
      <x:c r="W23" s="13" t="str">
        <x:v>4.8/5mm 与 5mm 接近；环比≠价格原值</x:v>
      </x:c>
      <x:c r="X23" s="13" t="str">
        <x:v>5mm 浮法平板玻璃规格接近，但候选是环比百分比，不是市场价格水平。</x:v>
      </x:c>
      <x:c r="Y23" s="13" t="str">
        <x:v>黄色被下调；统计口径冲突</x:v>
      </x:c>
      <x:c r="Z23" s="13" t="str">
        <x:v>作为新增解释变量，不替换原序列</x:v>
      </x:c>
      <x:c r="AA23" s="13" t="str">
        <x:v>元数据 isUpdate 只表示更新状态；正式回测仍须检查观测级 publishDate。</x:v>
      </x:c>
      <x:c r="AB23" s="21" t="str">
        <x:v>getEcoDataChina</x:v>
      </x:c>
      <x:c r="AC23" s="21" t="str">
        <x:v>83</x:v>
      </x:c>
      <x:c r="AD23" s="21" t="str">
        <x:v>完整候选表</x:v>
      </x:c>
    </x:row>
    <x:row r="24" ht="48" customHeight="1">
      <x:c r="A24" s="21" t="str">
        <x:v>黄色</x:v>
      </x:c>
      <x:c r="B24" s="22" t="str">
        <x:v>可直接替代</x:v>
      </x:c>
      <x:c r="C24" s="21" t="str">
        <x:v>低</x:v>
      </x:c>
      <x:c r="D24" s="21" t="str">
        <x:v>801710</x:v>
      </x:c>
      <x:c r="E24" s="13" t="str">
        <x:v>中国:出口金额:玻璃纤维(包括玻璃棉)及其制品(例如,玻璃纤维纱线及其织物)(7019):当月同比</x:v>
      </x:c>
      <x:c r="F24" s="21" t="str">
        <x:v>C1628024</x:v>
      </x:c>
      <x:c r="G24" s="21" t="str">
        <x:v>需求</x:v>
      </x:c>
      <x:c r="H24" s="21" t="str">
        <x:v>同比</x:v>
      </x:c>
      <x:c r="I24" s="13" t="str">
        <x:v>出口金额(美元):玻璃纤维及其制品(7019):当月同比</x:v>
      </x:c>
      <x:c r="J24" s="21" t="str">
        <x:v>2060811216</x:v>
      </x:c>
      <x:c r="K24" s="13" t="str">
        <x:v>Export Value (USD): Glass Fiber And Its Products(7019): Mom</x:v>
      </x:c>
      <x:c r="L24" s="21" t="str">
        <x:v>月</x:v>
      </x:c>
      <x:c r="M24" s="21" t="str">
        <x:v>%</x:v>
      </x:c>
      <x:c r="N24" s="21" t="str">
        <x:v>当期同比</x:v>
      </x:c>
      <x:c r="O24" s="21" t="str">
        <x:v>中国</x:v>
      </x:c>
      <x:c r="P24" s="21" t="str">
        <x:v>中国</x:v>
      </x:c>
      <x:c r="Q24" s="21" t="str">
        <x:v>海关总署</x:v>
      </x:c>
      <x:c r="R24" s="21" t="str">
        <x:v>2016-01-31</x:v>
      </x:c>
      <x:c r="S24" s="21" t="str">
        <x:v>2026-06-30</x:v>
      </x:c>
      <x:c r="T24" s="21" t="n">
        <x:v>1</x:v>
      </x:c>
      <x:c r="U24" s="13" t="str">
        <x:v>目标=broad；候选=broad</x:v>
      </x:c>
      <x:c r="V24" s="13" t="str">
        <x:v>英文名已核对：Export Value (USD): Glass Fiber And Its Products(7019): Mom</x:v>
      </x:c>
      <x:c r="W24" s="13" t="str">
        <x:v>中文核心统计对象未见明显冲突；仍需数值对账</x:v>
      </x:c>
      <x:c r="X24" s="13" t="str">
        <x:v>元数据未发现关键冲突</x:v>
      </x:c>
      <x:c r="Y24" s="13" t="str">
        <x:v>无明显元数据冲突</x:v>
      </x:c>
      <x:c r="Z24" s="13" t="str">
        <x:v>进入数值与发布日期对账</x:v>
      </x:c>
      <x:c r="AA24" s="13" t="str">
        <x:v>元数据 isUpdate 只表示更新状态；正式回测仍须检查观测级 publishDate。</x:v>
      </x:c>
      <x:c r="AB24" s="21" t="str">
        <x:v>getEcoDataIndBuildingmaterials</x:v>
      </x:c>
      <x:c r="AC24" s="21" t="str">
        <x:v>85</x:v>
      </x:c>
      <x:c r="AD24" s="21" t="str">
        <x:v>优先审核表</x:v>
      </x:c>
    </x:row>
    <x:row r="25" ht="48" customHeight="1">
      <x:c r="A25" s="21" t="str">
        <x:v>黄色</x:v>
      </x:c>
      <x:c r="B25" s="21" t="str">
        <x:v>近似替代</x:v>
      </x:c>
      <x:c r="C25" s="21" t="str">
        <x:v>高</x:v>
      </x:c>
      <x:c r="D25" s="21" t="str">
        <x:v>801720</x:v>
      </x:c>
      <x:c r="E25" s="13" t="str">
        <x:v>美国:新订单额:制造业:季调:同比</x:v>
      </x:c>
      <x:c r="F25" s="21" t="str">
        <x:v>G1109320</x:v>
      </x:c>
      <x:c r="G25" s="21" t="str">
        <x:v>需求</x:v>
      </x:c>
      <x:c r="H25" s="21" t="str">
        <x:v>同比</x:v>
      </x:c>
      <x:c r="I25" s="13" t="str">
        <x:v>美国:制造业新订单:核心资本品(剔除国防和飞机):季调:同比</x:v>
      </x:c>
      <x:c r="J25" s="21" t="str">
        <x:v>3010500036</x:v>
      </x:c>
      <x:c r="K25" s="13" t="str">
        <x:v>US:Manufacturers' New Orders:Nondefense Capital Goods Excluding Aircraft:SA:YoY</x:v>
      </x:c>
      <x:c r="L25" s="21" t="str">
        <x:v>月</x:v>
      </x:c>
      <x:c r="M25" s="21" t="str">
        <x:v>%</x:v>
      </x:c>
      <x:c r="N25" s="21" t="str">
        <x:v>同比(季调)</x:v>
      </x:c>
      <x:c r="O25" s="21" t="str"/>
      <x:c r="P25" s="21" t="str">
        <x:v>美国</x:v>
      </x:c>
      <x:c r="Q25" s="21" t="str">
        <x:v>美国商务部</x:v>
      </x:c>
      <x:c r="R25" s="21" t="str">
        <x:v>1993-02-28</x:v>
      </x:c>
      <x:c r="S25" s="21" t="str">
        <x:v>2026-06-30</x:v>
      </x:c>
      <x:c r="T25" s="21" t="n">
        <x:v>1</x:v>
      </x:c>
      <x:c r="U25" s="13" t="str">
        <x:v>目标=foreign；候选=foreign</x:v>
      </x:c>
      <x:c r="V25" s="13" t="str">
        <x:v>名称对应</x:v>
      </x:c>
      <x:c r="W25" s="13" t="str">
        <x:v>核心资本品订单是制造业新订单子集</x:v>
      </x:c>
      <x:c r="X25" s="13" t="str">
        <x:v>候选仅覆盖剔除国防和飞机的核心资本品订单，不代表美国制造业全部新订单。</x:v>
      </x:c>
      <x:c r="Y25" s="13" t="str">
        <x:v>黄色被下调；统计范围缩窄</x:v>
      </x:c>
      <x:c r="Z25" s="13" t="str">
        <x:v>分开保存；通过因子稳定性检验后再使用</x:v>
      </x:c>
      <x:c r="AA25" s="13" t="str">
        <x:v>元数据 isUpdate 只表示更新状态；正式回测仍须检查观测级 publishDate。</x:v>
      </x:c>
      <x:c r="AB25" s="21" t="str">
        <x:v>getEcoDataGlobeUsa</x:v>
      </x:c>
      <x:c r="AC25" s="21" t="str">
        <x:v>90</x:v>
      </x:c>
      <x:c r="AD25" s="21" t="str">
        <x:v>完整候选表</x:v>
      </x:c>
    </x:row>
    <x:row r="26" ht="48" customHeight="1">
      <x:c r="A26" s="21" t="str">
        <x:v>黄色</x:v>
      </x:c>
      <x:c r="B26" s="22" t="str">
        <x:v>可直接替代</x:v>
      </x:c>
      <x:c r="C26" s="21" t="str">
        <x:v>低</x:v>
      </x:c>
      <x:c r="D26" s="21" t="str">
        <x:v>801720</x:v>
      </x:c>
      <x:c r="E26" s="13" t="str">
        <x:v>中国:非制造业PM1建筑业</x:v>
      </x:c>
      <x:c r="F26" s="21" t="str">
        <x:v>M5207831</x:v>
      </x:c>
      <x:c r="G26" s="21" t="str">
        <x:v>情绪/预期</x:v>
      </x:c>
      <x:c r="H26" s="21" t="str">
        <x:v>指数</x:v>
      </x:c>
      <x:c r="I26" s="13" t="str">
        <x:v>非制造业PMI:建筑业</x:v>
      </x:c>
      <x:c r="J26" s="21" t="str">
        <x:v>1030000726</x:v>
      </x:c>
      <x:c r="K26" s="13" t="str">
        <x:v>Non-manufacturing PMI: Construction Industry</x:v>
      </x:c>
      <x:c r="L26" s="21" t="str">
        <x:v>月</x:v>
      </x:c>
      <x:c r="M26" s="21" t="str">
        <x:v>%</x:v>
      </x:c>
      <x:c r="N26" s="21" t="str">
        <x:v>当期值</x:v>
      </x:c>
      <x:c r="O26" s="21" t="str">
        <x:v>全国</x:v>
      </x:c>
      <x:c r="P26" s="21" t="str">
        <x:v>中国</x:v>
      </x:c>
      <x:c r="Q26" s="21" t="str">
        <x:v>国家统计局</x:v>
      </x:c>
      <x:c r="R26" s="21" t="str">
        <x:v>2008-02-29</x:v>
      </x:c>
      <x:c r="S26" s="21" t="str">
        <x:v>2026-07-31</x:v>
      </x:c>
      <x:c r="T26" s="21" t="n">
        <x:v>1</x:v>
      </x:c>
      <x:c r="U26" s="13" t="str">
        <x:v>目标=broad；候选=broad</x:v>
      </x:c>
      <x:c r="V26" s="13" t="str">
        <x:v>英文名已核对：Non-manufacturing PMI: Construction Industry</x:v>
      </x:c>
      <x:c r="W26" s="13" t="str">
        <x:v>中文核心统计对象未见明显冲突；仍需数值对账</x:v>
      </x:c>
      <x:c r="X26" s="13" t="str">
        <x:v>元数据未发现关键冲突</x:v>
      </x:c>
      <x:c r="Y26" s="13" t="str">
        <x:v>无明显元数据冲突</x:v>
      </x:c>
      <x:c r="Z26" s="13" t="str">
        <x:v>进入数值与发布日期对账</x:v>
      </x:c>
      <x:c r="AA26" s="13" t="str">
        <x:v>元数据 isUpdate 只表示更新状态；正式回测仍须检查观测级 publishDate。</x:v>
      </x:c>
      <x:c r="AB26" s="21" t="str">
        <x:v>getEcoDataChina</x:v>
      </x:c>
      <x:c r="AC26" s="21" t="str">
        <x:v>91</x:v>
      </x:c>
      <x:c r="AD26" s="21" t="str">
        <x:v>完整候选表</x:v>
      </x:c>
    </x:row>
    <x:row r="27" ht="48" customHeight="1">
      <x:c r="A27" s="21" t="str">
        <x:v>黄色</x:v>
      </x:c>
      <x:c r="B27" s="22" t="str">
        <x:v>可直接替代</x:v>
      </x:c>
      <x:c r="C27" s="21" t="str">
        <x:v>低</x:v>
      </x:c>
      <x:c r="D27" s="21" t="str">
        <x:v>801890</x:v>
      </x:c>
      <x:c r="E27" s="13" t="str">
        <x:v>中国:利润总额:规模以上工业企业:当月值</x:v>
      </x:c>
      <x:c r="F27" s="21" t="str">
        <x:v>M5207463</x:v>
      </x:c>
      <x:c r="G27" s="21" t="str">
        <x:v>盈利</x:v>
      </x:c>
      <x:c r="H27" s="21" t="str">
        <x:v>当期值</x:v>
      </x:c>
      <x:c r="I27" s="13" t="str">
        <x:v>工业企业利润总额:当月值</x:v>
      </x:c>
      <x:c r="J27" s="21" t="str">
        <x:v>1020001902</x:v>
      </x:c>
      <x:c r="K27" s="13" t="str">
        <x:v>Industrial Enterprises: Total Profit: Current Value (Month)</x:v>
      </x:c>
      <x:c r="L27" s="21" t="str">
        <x:v>月</x:v>
      </x:c>
      <x:c r="M27" s="21" t="str">
        <x:v>亿元</x:v>
      </x:c>
      <x:c r="N27" s="21" t="str">
        <x:v>当期值</x:v>
      </x:c>
      <x:c r="O27" s="21" t="str">
        <x:v>全国</x:v>
      </x:c>
      <x:c r="P27" s="21" t="str">
        <x:v>中国</x:v>
      </x:c>
      <x:c r="Q27" s="21" t="str">
        <x:v>国家统计局</x:v>
      </x:c>
      <x:c r="R27" s="21" t="str">
        <x:v>2012-03-31</x:v>
      </x:c>
      <x:c r="S27" s="21" t="str">
        <x:v>2026-06-30</x:v>
      </x:c>
      <x:c r="T27" s="21" t="n">
        <x:v>1</x:v>
      </x:c>
      <x:c r="U27" s="13" t="str">
        <x:v>目标=broad；候选=broad</x:v>
      </x:c>
      <x:c r="V27" s="13" t="str">
        <x:v>英文名已核对：Industrial Enterprises: Total Profit: Current Value (Month)</x:v>
      </x:c>
      <x:c r="W27" s="13" t="str">
        <x:v>中文核心统计对象未见明显冲突；仍需数值对账</x:v>
      </x:c>
      <x:c r="X27" s="13" t="str">
        <x:v>元数据未发现关键冲突</x:v>
      </x:c>
      <x:c r="Y27" s="13" t="str">
        <x:v>无明显元数据冲突</x:v>
      </x:c>
      <x:c r="Z27" s="13" t="str">
        <x:v>进入数值与发布日期对账</x:v>
      </x:c>
      <x:c r="AA27" s="13" t="str">
        <x:v>元数据 isUpdate 只表示更新状态；正式回测仍须检查观测级 publishDate。</x:v>
      </x:c>
      <x:c r="AB27" s="21" t="str">
        <x:v>getEcoDataChina</x:v>
      </x:c>
      <x:c r="AC27" s="21" t="str">
        <x:v>93</x:v>
      </x:c>
      <x:c r="AD27" s="21" t="str">
        <x:v>完整候选表</x:v>
      </x:c>
    </x:row>
    <x:row r="28" ht="48" customHeight="1">
      <x:c r="A28" s="21" t="str">
        <x:v>黄色</x:v>
      </x:c>
      <x:c r="B28" s="21" t="str">
        <x:v>近似替代</x:v>
      </x:c>
      <x:c r="C28" s="21" t="str">
        <x:v>高</x:v>
      </x:c>
      <x:c r="D28" s="21" t="str">
        <x:v>801890</x:v>
      </x:c>
      <x:c r="E28" s="13" t="str">
        <x:v>中国:存货:专用设备制造业:同比</x:v>
      </x:c>
      <x:c r="F28" s="21" t="str">
        <x:v>M5786886</x:v>
      </x:c>
      <x:c r="G28" s="21" t="str">
        <x:v>库存</x:v>
      </x:c>
      <x:c r="H28" s="21" t="str">
        <x:v>同比</x:v>
      </x:c>
      <x:c r="I28" s="13" t="str">
        <x:v>工业企业:存货:专用设备制造业:累计同比</x:v>
      </x:c>
      <x:c r="J28" s="21" t="str">
        <x:v>1020006641</x:v>
      </x:c>
      <x:c r="K28" s="13" t="str">
        <x:v>Inventory: Special Equipment Manufacturing Industry: Cumulative YoY</x:v>
      </x:c>
      <x:c r="L28" s="21" t="str">
        <x:v>月</x:v>
      </x:c>
      <x:c r="M28" s="21" t="str">
        <x:v>%</x:v>
      </x:c>
      <x:c r="N28" s="21" t="str">
        <x:v>累计同比</x:v>
      </x:c>
      <x:c r="O28" s="21" t="str">
        <x:v>全国</x:v>
      </x:c>
      <x:c r="P28" s="21" t="str">
        <x:v>中国</x:v>
      </x:c>
      <x:c r="Q28" s="21" t="str">
        <x:v>国家统计局</x:v>
      </x:c>
      <x:c r="R28" s="21" t="str">
        <x:v>2012-02-29</x:v>
      </x:c>
      <x:c r="S28" s="21" t="str">
        <x:v>2026-06-30</x:v>
      </x:c>
      <x:c r="T28" s="21" t="n">
        <x:v>1</x:v>
      </x:c>
      <x:c r="U28" s="13" t="str">
        <x:v>目标=broad；候选=broad</x:v>
      </x:c>
      <x:c r="V28" s="13" t="str">
        <x:v>名称对应</x:v>
      </x:c>
      <x:c r="W28" s="13" t="str">
        <x:v>专用设备制造业存货一致</x:v>
      </x:c>
      <x:c r="X28" s="13" t="str">
        <x:v>行业和同比方向一致，但 UQER 标注累计同比；需用数值对账确认其是否实为期末存货同比。</x:v>
      </x:c>
      <x:c r="Y28" s="13" t="str">
        <x:v>黄色被下调；累计/期末口径待核</x:v>
      </x:c>
      <x:c r="Z28" s="13" t="str">
        <x:v>分开保存；通过因子稳定性检验后再使用</x:v>
      </x:c>
      <x:c r="AA28" s="13" t="str">
        <x:v>元数据 isUpdate 只表示更新状态；正式回测仍须检查观测级 publishDate。</x:v>
      </x:c>
      <x:c r="AB28" s="21" t="str">
        <x:v>getEcoDataChina</x:v>
      </x:c>
      <x:c r="AC28" s="21" t="str">
        <x:v>97</x:v>
      </x:c>
      <x:c r="AD28" s="21" t="str">
        <x:v>优先审核表</x:v>
      </x:c>
    </x:row>
    <x:row r="29" ht="48" customHeight="1">
      <x:c r="A29" s="25" t="str">
        <x:v>蓝色</x:v>
      </x:c>
      <x:c r="B29" s="25" t="str">
        <x:v>仅补充</x:v>
      </x:c>
      <x:c r="C29" s="25" t="str">
        <x:v>中</x:v>
      </x:c>
      <x:c r="D29" s="25" t="str">
        <x:v>801890</x:v>
      </x:c>
      <x:c r="E29" s="15" t="str">
        <x:v>中国:出口数量:挖掘机:工程机械行业:当月同比</x:v>
      </x:c>
      <x:c r="F29" s="25" t="str">
        <x:v>S6001315</x:v>
      </x:c>
      <x:c r="G29" s="25" t="str">
        <x:v>需求</x:v>
      </x:c>
      <x:c r="H29" s="25" t="str">
        <x:v>同比</x:v>
      </x:c>
      <x:c r="I29" s="15" t="str">
        <x:v>出口数量:其他机械铲、挖掘机及机铲装载机(842959):当月同比</x:v>
      </x:c>
      <x:c r="J29" s="25" t="str">
        <x:v>2087014972</x:v>
      </x:c>
      <x:c r="K29" s="15" t="str">
        <x:v>Export Quantity: Other Mechanical Shovels, Excavators And Shovel Loaders(842959): Mom</x:v>
      </x:c>
      <x:c r="L29" s="25" t="str">
        <x:v>月</x:v>
      </x:c>
      <x:c r="M29" s="25" t="str">
        <x:v>%</x:v>
      </x:c>
      <x:c r="N29" s="25" t="str">
        <x:v>当期同比</x:v>
      </x:c>
      <x:c r="O29" s="25" t="str">
        <x:v>中国</x:v>
      </x:c>
      <x:c r="P29" s="25" t="str">
        <x:v>中国</x:v>
      </x:c>
      <x:c r="Q29" s="25" t="str">
        <x:v>海关总署</x:v>
      </x:c>
      <x:c r="R29" s="25" t="str">
        <x:v>2016-01-31</x:v>
      </x:c>
      <x:c r="S29" s="25" t="str">
        <x:v>2026-06-30</x:v>
      </x:c>
      <x:c r="T29" s="25" t="n">
        <x:v>1</x:v>
      </x:c>
      <x:c r="U29" s="15" t="str">
        <x:v>目标=broad；候选=broad</x:v>
      </x:c>
      <x:c r="V29" s="15" t="str">
        <x:v>名称对应</x:v>
      </x:c>
      <x:c r="W29" s="15" t="str">
        <x:v>HS 842959 不等于行业口径挖掘机出口</x:v>
      </x:c>
      <x:c r="X29" s="15" t="str">
        <x:v>HS 842959 包含其他机械铲、挖掘机和装载机，只能作为工程机械出口代理。</x:v>
      </x:c>
      <x:c r="Y29" s="15" t="str">
        <x:v>产品范围不同</x:v>
      </x:c>
      <x:c r="Z29" s="15" t="str">
        <x:v>作为新增解释变量，不替换原序列</x:v>
      </x:c>
      <x:c r="AA29" s="15" t="str">
        <x:v>元数据 isUpdate 只表示更新状态；正式回测仍须检查观测级 publishDate。</x:v>
      </x:c>
      <x:c r="AB29" s="25" t="str">
        <x:v>getEcoDataIndMachineryequipment</x:v>
      </x:c>
      <x:c r="AC29" s="25" t="str">
        <x:v>108</x:v>
      </x:c>
      <x:c r="AD29" s="25" t="str">
        <x:v>完整候选表</x:v>
      </x:c>
    </x:row>
    <x:row r="30" ht="48" customHeight="1">
      <x:c r="A30" s="21" t="str">
        <x:v>黄色</x:v>
      </x:c>
      <x:c r="B30" s="22" t="str">
        <x:v>可直接替代</x:v>
      </x:c>
      <x:c r="C30" s="21" t="str">
        <x:v>低</x:v>
      </x:c>
      <x:c r="D30" s="21" t="str">
        <x:v>801890</x:v>
      </x:c>
      <x:c r="E30" s="13" t="str">
        <x:v>中国:销量:装载机:主要企业:当月同比</x:v>
      </x:c>
      <x:c r="F30" s="21" t="str">
        <x:v>S6002168</x:v>
      </x:c>
      <x:c r="G30" s="21" t="str">
        <x:v>需求</x:v>
      </x:c>
      <x:c r="H30" s="21" t="str">
        <x:v>同比</x:v>
      </x:c>
      <x:c r="I30" s="13" t="str">
        <x:v>销量:装载机:当月同比</x:v>
      </x:c>
      <x:c r="J30" s="21" t="str">
        <x:v>2080111206</x:v>
      </x:c>
      <x:c r="K30" s="13" t="str">
        <x:v>Sales Volume: Loaders: Month YoY</x:v>
      </x:c>
      <x:c r="L30" s="21" t="str">
        <x:v>月</x:v>
      </x:c>
      <x:c r="M30" s="21" t="str">
        <x:v>%</x:v>
      </x:c>
      <x:c r="N30" s="21" t="str">
        <x:v>当期同比</x:v>
      </x:c>
      <x:c r="O30" s="21" t="str">
        <x:v>全国</x:v>
      </x:c>
      <x:c r="P30" s="21" t="str">
        <x:v>中国</x:v>
      </x:c>
      <x:c r="Q30" s="21" t="str">
        <x:v>中国工程机械工业协会</x:v>
      </x:c>
      <x:c r="R30" s="21" t="str">
        <x:v>2008-01-31</x:v>
      </x:c>
      <x:c r="S30" s="21" t="str">
        <x:v>2026-06-30</x:v>
      </x:c>
      <x:c r="T30" s="21" t="n">
        <x:v>1</x:v>
      </x:c>
      <x:c r="U30" s="13" t="str">
        <x:v>目标=broad；候选=broad</x:v>
      </x:c>
      <x:c r="V30" s="13" t="str">
        <x:v>英文名已核对：Sales Volume: Loaders: Month YoY</x:v>
      </x:c>
      <x:c r="W30" s="13" t="str">
        <x:v>中文核心统计对象未见明显冲突；仍需数值对账</x:v>
      </x:c>
      <x:c r="X30" s="13" t="str">
        <x:v>元数据未发现关键冲突</x:v>
      </x:c>
      <x:c r="Y30" s="13" t="str">
        <x:v>无明显元数据冲突</x:v>
      </x:c>
      <x:c r="Z30" s="13" t="str">
        <x:v>进入数值与发布日期对账</x:v>
      </x:c>
      <x:c r="AA30" s="13" t="str">
        <x:v>元数据 isUpdate 只表示更新状态；正式回测仍须检查观测级 publishDate。</x:v>
      </x:c>
      <x:c r="AB30" s="21" t="str">
        <x:v>getEcoDataIndMachineryequipment</x:v>
      </x:c>
      <x:c r="AC30" s="21" t="str">
        <x:v>109</x:v>
      </x:c>
      <x:c r="AD30" s="21" t="str">
        <x:v>优先审核表</x:v>
      </x:c>
    </x:row>
    <x:row r="31" ht="48" customHeight="1">
      <x:c r="A31" s="21" t="str">
        <x:v>黄色</x:v>
      </x:c>
      <x:c r="B31" s="22" t="str">
        <x:v>可直接替代</x:v>
      </x:c>
      <x:c r="C31" s="21" t="str">
        <x:v>低</x:v>
      </x:c>
      <x:c r="D31" s="21" t="str">
        <x:v>801890</x:v>
      </x:c>
      <x:c r="E31" s="13" t="str">
        <x:v>中国:销量:叉车:主要企业:当月同比</x:v>
      </x:c>
      <x:c r="F31" s="21" t="str">
        <x:v>S6002171</x:v>
      </x:c>
      <x:c r="G31" s="21" t="str">
        <x:v>需求</x:v>
      </x:c>
      <x:c r="H31" s="21" t="str">
        <x:v>同比</x:v>
      </x:c>
      <x:c r="I31" s="13" t="str">
        <x:v>销量:叉车:当月同比</x:v>
      </x:c>
      <x:c r="J31" s="21" t="str">
        <x:v>2080111236</x:v>
      </x:c>
      <x:c r="K31" s="13" t="str">
        <x:v>Sales Volume: Forklifts: Month YoY</x:v>
      </x:c>
      <x:c r="L31" s="21" t="str">
        <x:v>月</x:v>
      </x:c>
      <x:c r="M31" s="21" t="str">
        <x:v>%</x:v>
      </x:c>
      <x:c r="N31" s="21" t="str">
        <x:v>当期同比</x:v>
      </x:c>
      <x:c r="O31" s="21" t="str">
        <x:v>全国</x:v>
      </x:c>
      <x:c r="P31" s="21" t="str">
        <x:v>中国</x:v>
      </x:c>
      <x:c r="Q31" s="21" t="str">
        <x:v>中国工程机械工业协会</x:v>
      </x:c>
      <x:c r="R31" s="21" t="str">
        <x:v>2008-01-31</x:v>
      </x:c>
      <x:c r="S31" s="21" t="str">
        <x:v>2026-06-30</x:v>
      </x:c>
      <x:c r="T31" s="21" t="n">
        <x:v>1</x:v>
      </x:c>
      <x:c r="U31" s="13" t="str">
        <x:v>目标=broad；候选=broad</x:v>
      </x:c>
      <x:c r="V31" s="13" t="str">
        <x:v>英文名已核对：Sales Volume: Forklifts: Month YoY</x:v>
      </x:c>
      <x:c r="W31" s="13" t="str">
        <x:v>中文核心统计对象未见明显冲突；仍需数值对账</x:v>
      </x:c>
      <x:c r="X31" s="13" t="str">
        <x:v>元数据未发现关键冲突</x:v>
      </x:c>
      <x:c r="Y31" s="13" t="str">
        <x:v>无明显元数据冲突</x:v>
      </x:c>
      <x:c r="Z31" s="13" t="str">
        <x:v>进入数值与发布日期对账</x:v>
      </x:c>
      <x:c r="AA31" s="13" t="str">
        <x:v>元数据 isUpdate 只表示更新状态；正式回测仍须检查观测级 publishDate。</x:v>
      </x:c>
      <x:c r="AB31" s="21" t="str">
        <x:v>getEcoDataIndMachineryequipment</x:v>
      </x:c>
      <x:c r="AC31" s="21" t="str">
        <x:v>111</x:v>
      </x:c>
      <x:c r="AD31" s="21" t="str">
        <x:v>优先审核表</x:v>
      </x:c>
    </x:row>
    <x:row r="32" ht="48" customHeight="1">
      <x:c r="A32" s="21" t="str">
        <x:v>黄色</x:v>
      </x:c>
      <x:c r="B32" s="21" t="str">
        <x:v>近似替代</x:v>
      </x:c>
      <x:c r="C32" s="21" t="str">
        <x:v>高</x:v>
      </x:c>
      <x:c r="D32" s="21" t="str">
        <x:v>801740</x:v>
      </x:c>
      <x:c r="E32" s="13" t="str">
        <x:v>中国:中央本级一般公共预算支出:国防</x:v>
      </x:c>
      <x:c r="F32" s="21" t="str">
        <x:v>M0065417</x:v>
      </x:c>
      <x:c r="G32" s="21" t="str">
        <x:v>需求</x:v>
      </x:c>
      <x:c r="H32" s="21" t="str">
        <x:v>当期值</x:v>
      </x:c>
      <x:c r="I32" s="13" t="str">
        <x:v>中央本级公共财政支出:国防</x:v>
      </x:c>
      <x:c r="J32" s="21" t="str">
        <x:v>1060013427</x:v>
      </x:c>
      <x:c r="K32" s="13" t="str">
        <x:v>Central Government Public Finance Expenditure: National Defense</x:v>
      </x:c>
      <x:c r="L32" s="21" t="str">
        <x:v>年</x:v>
      </x:c>
      <x:c r="M32" s="21" t="str">
        <x:v>亿元</x:v>
      </x:c>
      <x:c r="N32" s="21" t="str">
        <x:v>当期值</x:v>
      </x:c>
      <x:c r="O32" s="21" t="str">
        <x:v>全国</x:v>
      </x:c>
      <x:c r="P32" s="21" t="str">
        <x:v>中国</x:v>
      </x:c>
      <x:c r="Q32" s="21" t="str">
        <x:v>财政部</x:v>
      </x:c>
      <x:c r="R32" s="21" t="str">
        <x:v>2008-12-31</x:v>
      </x:c>
      <x:c r="S32" s="21" t="str">
        <x:v>2025-12-31</x:v>
      </x:c>
      <x:c r="T32" s="21" t="n">
        <x:v>1</x:v>
      </x:c>
      <x:c r="U32" s="13" t="str">
        <x:v>目标=broad；候选=broad</x:v>
      </x:c>
      <x:c r="V32" s="13" t="str">
        <x:v>名称对应</x:v>
      </x:c>
      <x:c r="W32" s="13" t="str">
        <x:v>中央本级国防支出一致</x:v>
      </x:c>
      <x:c r="X32" s="13" t="str">
        <x:v>中央本级国防支出对象一致，但“公共财政支出”与现行“一般公共预算支出”存在财政科目沿革。</x:v>
      </x:c>
      <x:c r="Y32" s="13" t="str">
        <x:v>黄色被下调；财政口径沿革</x:v>
      </x:c>
      <x:c r="Z32" s="13" t="str">
        <x:v>分开保存；通过因子稳定性检验后再使用</x:v>
      </x:c>
      <x:c r="AA32" s="13" t="str">
        <x:v>元数据 isUpdate 只表示更新状态；正式回测仍须检查观测级 publishDate。</x:v>
      </x:c>
      <x:c r="AB32" s="21" t="str">
        <x:v>getEcoDataChina</x:v>
      </x:c>
      <x:c r="AC32" s="21" t="str">
        <x:v>116</x:v>
      </x:c>
      <x:c r="AD32" s="21" t="str">
        <x:v>完整候选表</x:v>
      </x:c>
    </x:row>
    <x:row r="33" ht="48" customHeight="1">
      <x:c r="A33" s="21" t="str">
        <x:v>黄色</x:v>
      </x:c>
      <x:c r="B33" s="22" t="str">
        <x:v>可直接替代</x:v>
      </x:c>
      <x:c r="C33" s="21" t="str">
        <x:v>低</x:v>
      </x:c>
      <x:c r="D33" s="21" t="str">
        <x:v>801740</x:v>
      </x:c>
      <x:c r="E33" s="13" t="str">
        <x:v>中国:出口金额:航空器、航天器及其零件(HS88章):当月值</x:v>
      </x:c>
      <x:c r="F33" s="21" t="str">
        <x:v>M0053738</x:v>
      </x:c>
      <x:c r="G33" s="21" t="str">
        <x:v>需求</x:v>
      </x:c>
      <x:c r="H33" s="21" t="str">
        <x:v>当期值</x:v>
      </x:c>
      <x:c r="I33" s="13" t="str">
        <x:v>出口金额(美元):航空器、航天器及其零件(88):当月值</x:v>
      </x:c>
      <x:c r="J33" s="21" t="str">
        <x:v>2087005761</x:v>
      </x:c>
      <x:c r="K33" s="13" t="str">
        <x:v>Export Value (USD): Aircraft, Spacecraft And Their Parts(88): Current Month Value</x:v>
      </x:c>
      <x:c r="L33" s="21" t="str">
        <x:v>月</x:v>
      </x:c>
      <x:c r="M33" s="21" t="str">
        <x:v>美元</x:v>
      </x:c>
      <x:c r="N33" s="21" t="str">
        <x:v>当期值</x:v>
      </x:c>
      <x:c r="O33" s="21" t="str">
        <x:v>中国</x:v>
      </x:c>
      <x:c r="P33" s="21" t="str">
        <x:v>中国</x:v>
      </x:c>
      <x:c r="Q33" s="21" t="str">
        <x:v>海关总署</x:v>
      </x:c>
      <x:c r="R33" s="21" t="str">
        <x:v>2015-01-31</x:v>
      </x:c>
      <x:c r="S33" s="21" t="str">
        <x:v>2026-06-30</x:v>
      </x:c>
      <x:c r="T33" s="21" t="n">
        <x:v>1</x:v>
      </x:c>
      <x:c r="U33" s="13" t="str">
        <x:v>目标=broad；候选=broad</x:v>
      </x:c>
      <x:c r="V33" s="13" t="str">
        <x:v>英文名已核对：Export Value (USD): Aircraft, Spacecraft And Their Parts(88): Current Month Value</x:v>
      </x:c>
      <x:c r="W33" s="13" t="str">
        <x:v>中文核心统计对象未见明显冲突；仍需数值对账</x:v>
      </x:c>
      <x:c r="X33" s="13" t="str">
        <x:v>元数据未发现关键冲突</x:v>
      </x:c>
      <x:c r="Y33" s="13" t="str">
        <x:v>无明显元数据冲突</x:v>
      </x:c>
      <x:c r="Z33" s="13" t="str">
        <x:v>进入数值与发布日期对账</x:v>
      </x:c>
      <x:c r="AA33" s="13" t="str">
        <x:v>元数据 isUpdate 只表示更新状态；正式回测仍须检查观测级 publishDate。</x:v>
      </x:c>
      <x:c r="AB33" s="21" t="str">
        <x:v>getEcoDataIndMachineryequipment</x:v>
      </x:c>
      <x:c r="AC33" s="21" t="str">
        <x:v>118</x:v>
      </x:c>
      <x:c r="AD33" s="21" t="str">
        <x:v>优先审核表</x:v>
      </x:c>
    </x:row>
    <x:row r="34" ht="48" customHeight="1">
      <x:c r="A34" s="21" t="str">
        <x:v>黄色</x:v>
      </x:c>
      <x:c r="B34" s="22" t="str">
        <x:v>可直接替代</x:v>
      </x:c>
      <x:c r="C34" s="21" t="str">
        <x:v>低</x:v>
      </x:c>
      <x:c r="D34" s="21" t="str">
        <x:v>801740</x:v>
      </x:c>
      <x:c r="E34" s="13" t="str">
        <x:v>中国:新接船舶订单量:累计值</x:v>
      </x:c>
      <x:c r="F34" s="21" t="str">
        <x:v>S6000031</x:v>
      </x:c>
      <x:c r="G34" s="21" t="str">
        <x:v>需求</x:v>
      </x:c>
      <x:c r="H34" s="21" t="str">
        <x:v>累计值</x:v>
      </x:c>
      <x:c r="I34" s="13" t="str">
        <x:v>全国造船新订单量:累计值</x:v>
      </x:c>
      <x:c r="J34" s="21" t="str">
        <x:v>2160029362</x:v>
      </x:c>
      <x:c r="K34" s="13" t="str">
        <x:v>National Volume of New Ship Building Orders: Cumulative Value</x:v>
      </x:c>
      <x:c r="L34" s="21" t="str">
        <x:v>月</x:v>
      </x:c>
      <x:c r="M34" s="21" t="str">
        <x:v>万载重吨</x:v>
      </x:c>
      <x:c r="N34" s="21" t="str">
        <x:v>累计值</x:v>
      </x:c>
      <x:c r="O34" s="21" t="str"/>
      <x:c r="P34" s="21" t="str">
        <x:v>中国</x:v>
      </x:c>
      <x:c r="Q34" s="21" t="str">
        <x:v>中国船舶工业行业协会</x:v>
      </x:c>
      <x:c r="R34" s="21" t="str">
        <x:v>2013-12-31</x:v>
      </x:c>
      <x:c r="S34" s="21" t="str">
        <x:v>2026-03-31</x:v>
      </x:c>
      <x:c r="T34" s="21" t="n">
        <x:v>1</x:v>
      </x:c>
      <x:c r="U34" s="13" t="str">
        <x:v>目标=broad；候选=broad</x:v>
      </x:c>
      <x:c r="V34" s="13" t="str">
        <x:v>英文名已核对：National Volume of New Ship Building Orders: Cumulative Value</x:v>
      </x:c>
      <x:c r="W34" s="13" t="str">
        <x:v>中文核心统计对象未见明显冲突；仍需数值对账</x:v>
      </x:c>
      <x:c r="X34" s="13" t="str">
        <x:v>元数据未发现关键冲突</x:v>
      </x:c>
      <x:c r="Y34" s="13" t="str">
        <x:v>无明显元数据冲突</x:v>
      </x:c>
      <x:c r="Z34" s="13" t="str">
        <x:v>进入数值与发布日期对账</x:v>
      </x:c>
      <x:c r="AA34" s="13" t="str">
        <x:v>元数据 isUpdate 只表示更新状态；正式回测仍须检查观测级 publishDate。</x:v>
      </x:c>
      <x:c r="AB34" s="21" t="str">
        <x:v>getEcoDataIndTraffictransport</x:v>
      </x:c>
      <x:c r="AC34" s="21" t="str">
        <x:v>119</x:v>
      </x:c>
      <x:c r="AD34" s="21" t="str">
        <x:v>优先审核表</x:v>
      </x:c>
    </x:row>
    <x:row r="35" ht="48" customHeight="1">
      <x:c r="A35" s="21" t="str">
        <x:v>黄色</x:v>
      </x:c>
      <x:c r="B35" s="22" t="str">
        <x:v>可直接替代</x:v>
      </x:c>
      <x:c r="C35" s="21" t="str">
        <x:v>低</x:v>
      </x:c>
      <x:c r="D35" s="21" t="str">
        <x:v>801740</x:v>
      </x:c>
      <x:c r="E35" s="13" t="str">
        <x:v>中国:手持船舶订单量:累计值</x:v>
      </x:c>
      <x:c r="F35" s="21" t="str">
        <x:v>S6000033</x:v>
      </x:c>
      <x:c r="G35" s="21" t="str">
        <x:v>需求</x:v>
      </x:c>
      <x:c r="H35" s="21" t="str">
        <x:v>累计值</x:v>
      </x:c>
      <x:c r="I35" s="13" t="str">
        <x:v>全国造船手持订单量:累计值</x:v>
      </x:c>
      <x:c r="J35" s="21" t="str">
        <x:v>2160029363</x:v>
      </x:c>
      <x:c r="K35" s="13" t="str">
        <x:v>National Volume of Ship Building Handheld Orders: Cumulative Value</x:v>
      </x:c>
      <x:c r="L35" s="21" t="str">
        <x:v>月</x:v>
      </x:c>
      <x:c r="M35" s="21" t="str">
        <x:v>万载重吨</x:v>
      </x:c>
      <x:c r="N35" s="21" t="str">
        <x:v>累计值</x:v>
      </x:c>
      <x:c r="O35" s="21" t="str"/>
      <x:c r="P35" s="21" t="str">
        <x:v>中国</x:v>
      </x:c>
      <x:c r="Q35" s="21" t="str">
        <x:v>中国船舶工业行业协会</x:v>
      </x:c>
      <x:c r="R35" s="21" t="str">
        <x:v>2013-12-31</x:v>
      </x:c>
      <x:c r="S35" s="21" t="str">
        <x:v>2026-03-31</x:v>
      </x:c>
      <x:c r="T35" s="21" t="n">
        <x:v>1</x:v>
      </x:c>
      <x:c r="U35" s="13" t="str">
        <x:v>目标=broad；候选=broad</x:v>
      </x:c>
      <x:c r="V35" s="13" t="str">
        <x:v>英文名已核对：National Volume of Ship Building Handheld Orders: Cumulative Value</x:v>
      </x:c>
      <x:c r="W35" s="13" t="str">
        <x:v>中文核心统计对象未见明显冲突；仍需数值对账</x:v>
      </x:c>
      <x:c r="X35" s="13" t="str">
        <x:v>元数据未发现关键冲突</x:v>
      </x:c>
      <x:c r="Y35" s="13" t="str">
        <x:v>无明显元数据冲突</x:v>
      </x:c>
      <x:c r="Z35" s="13" t="str">
        <x:v>进入数值与发布日期对账</x:v>
      </x:c>
      <x:c r="AA35" s="13" t="str">
        <x:v>元数据 isUpdate 只表示更新状态；正式回测仍须检查观测级 publishDate。</x:v>
      </x:c>
      <x:c r="AB35" s="21" t="str">
        <x:v>getEcoDataIndTraffictransport</x:v>
      </x:c>
      <x:c r="AC35" s="21" t="str">
        <x:v>120</x:v>
      </x:c>
      <x:c r="AD35" s="21" t="str">
        <x:v>优先审核表</x:v>
      </x:c>
    </x:row>
    <x:row r="36" ht="48" customHeight="1">
      <x:c r="A36" s="21" t="str">
        <x:v>黄色</x:v>
      </x:c>
      <x:c r="B36" s="21" t="str">
        <x:v>近似替代</x:v>
      </x:c>
      <x:c r="C36" s="21" t="str">
        <x:v>高</x:v>
      </x:c>
      <x:c r="D36" s="21" t="str">
        <x:v>801160</x:v>
      </x:c>
      <x:c r="E36" s="13" t="str">
        <x:v>秦皇岛港:平仓价:动力末煤(Q5500,山西产)</x:v>
      </x:c>
      <x:c r="F36" s="21" t="str">
        <x:v>S5101377</x:v>
      </x:c>
      <x:c r="G36" s="21" t="str">
        <x:v>价格</x:v>
      </x:c>
      <x:c r="H36" s="21" t="str">
        <x:v>原始值</x:v>
      </x:c>
      <x:c r="I36" s="13" t="str">
        <x:v>现货交易平仓价:CCTD秦皇岛动力煤(Q5500)</x:v>
      </x:c>
      <x:c r="J36" s="21" t="str">
        <x:v>2020657630</x:v>
      </x:c>
      <x:c r="K36" s="13" t="str">
        <x:v>Exit Price(Spot): CCTD Steam Coal in Qinhuangdao (Q5500)</x:v>
      </x:c>
      <x:c r="L36" s="21" t="str">
        <x:v>周</x:v>
      </x:c>
      <x:c r="M36" s="21" t="str">
        <x:v>元/吨</x:v>
      </x:c>
      <x:c r="N36" s="21" t="str">
        <x:v>当期值</x:v>
      </x:c>
      <x:c r="O36" s="21" t="str">
        <x:v>全国</x:v>
      </x:c>
      <x:c r="P36" s="21" t="str">
        <x:v>中国</x:v>
      </x:c>
      <x:c r="Q36" s="21" t="str">
        <x:v>Datayes!</x:v>
      </x:c>
      <x:c r="R36" s="21" t="str">
        <x:v>2018-03-26</x:v>
      </x:c>
      <x:c r="S36" s="21" t="str">
        <x:v>2026-08-07</x:v>
      </x:c>
      <x:c r="T36" s="21" t="n">
        <x:v>1</x:v>
      </x:c>
      <x:c r="U36" s="13" t="str">
        <x:v>目标=local；候选=broad</x:v>
      </x:c>
      <x:c r="V36" s="13" t="str">
        <x:v>名称对应</x:v>
      </x:c>
      <x:c r="W36" s="13" t="str">
        <x:v>动力煤 Q5500 一致；产地限定缺失</x:v>
      </x:c>
      <x:c r="X36" s="13" t="str">
        <x:v>Q5500 秦皇岛平仓价一致，但 UQER 名称未限定“山西产”。</x:v>
      </x:c>
      <x:c r="Y36" s="13" t="str">
        <x:v>黄色被下调；产地口径未明确</x:v>
      </x:c>
      <x:c r="Z36" s="13" t="str">
        <x:v>分开保存；通过因子稳定性检验后再使用</x:v>
      </x:c>
      <x:c r="AA36" s="13" t="str">
        <x:v>元数据 isUpdate 只表示更新状态；正式回测仍须检查观测级 publishDate。</x:v>
      </x:c>
      <x:c r="AB36" s="21" t="str">
        <x:v>getEcoDataIndEnergy</x:v>
      </x:c>
      <x:c r="AC36" s="21" t="str">
        <x:v>122</x:v>
      </x:c>
      <x:c r="AD36" s="21" t="str">
        <x:v>完整候选表</x:v>
      </x:c>
    </x:row>
    <x:row r="37" ht="48" customHeight="1">
      <x:c r="A37" s="25" t="str">
        <x:v>蓝色</x:v>
      </x:c>
      <x:c r="B37" s="25" t="str">
        <x:v>仅补充</x:v>
      </x:c>
      <x:c r="C37" s="25" t="str">
        <x:v>中</x:v>
      </x:c>
      <x:c r="D37" s="25" t="str">
        <x:v>801170</x:v>
      </x:c>
      <x:c r="E37" s="15" t="str">
        <x:v>中国:快递业务平均单价</x:v>
      </x:c>
      <x:c r="F37" s="25" t="str">
        <x:v>S6500745</x:v>
      </x:c>
      <x:c r="G37" s="25" t="str">
        <x:v>价格</x:v>
      </x:c>
      <x:c r="H37" s="25" t="str">
        <x:v>当期值</x:v>
      </x:c>
      <x:c r="I37" s="15" t="str">
        <x:v>快递:业务收入</x:v>
      </x:c>
      <x:c r="J37" s="25" t="str">
        <x:v>2160606356</x:v>
      </x:c>
      <x:c r="K37" s="15" t="str">
        <x:v>Express Delivery: Business Income</x:v>
      </x:c>
      <x:c r="L37" s="25" t="str">
        <x:v>年</x:v>
      </x:c>
      <x:c r="M37" s="25" t="str">
        <x:v>亿元</x:v>
      </x:c>
      <x:c r="N37" s="25" t="str">
        <x:v>当期值</x:v>
      </x:c>
      <x:c r="O37" s="25" t="str">
        <x:v>全国</x:v>
      </x:c>
      <x:c r="P37" s="25" t="str">
        <x:v>中国</x:v>
      </x:c>
      <x:c r="Q37" s="25" t="str">
        <x:v>国家邮政局</x:v>
      </x:c>
      <x:c r="R37" s="25" t="str">
        <x:v>2006-12-31</x:v>
      </x:c>
      <x:c r="S37" s="25" t="str">
        <x:v>2025-12-31</x:v>
      </x:c>
      <x:c r="T37" s="25" t="n">
        <x:v>1</x:v>
      </x:c>
      <x:c r="U37" s="15" t="str">
        <x:v>目标=broad；候选=broad</x:v>
      </x:c>
      <x:c r="V37" s="15" t="str">
        <x:v>名称对应</x:v>
      </x:c>
      <x:c r="W37" s="15" t="str">
        <x:v>业务收入≠平均单价</x:v>
      </x:c>
      <x:c r="X37" s="15" t="str">
        <x:v>快递业务收入受业务量和单价共同影响，不能直接替代平均单价。</x:v>
      </x:c>
      <x:c r="Y37" s="15" t="str">
        <x:v>统计对象冲突</x:v>
      </x:c>
      <x:c r="Z37" s="15" t="str">
        <x:v>作为新增解释变量，不替换原序列</x:v>
      </x:c>
      <x:c r="AA37" s="15" t="str">
        <x:v>元数据 isUpdate 只表示更新状态；正式回测仍须检查观测级 publishDate。</x:v>
      </x:c>
      <x:c r="AB37" s="25" t="str">
        <x:v>getEcoDataIndTraffictransport</x:v>
      </x:c>
      <x:c r="AC37" s="25" t="str">
        <x:v>127</x:v>
      </x:c>
      <x:c r="AD37" s="25" t="str">
        <x:v>完整候选表</x:v>
      </x:c>
    </x:row>
    <x:row r="38" ht="48" customHeight="1">
      <x:c r="A38" s="21" t="str">
        <x:v>黄色</x:v>
      </x:c>
      <x:c r="B38" s="22" t="str">
        <x:v>可直接替代</x:v>
      </x:c>
      <x:c r="C38" s="21" t="str">
        <x:v>低</x:v>
      </x:c>
      <x:c r="D38" s="21" t="str">
        <x:v>801170</x:v>
      </x:c>
      <x:c r="E38" s="13" t="str">
        <x:v>波罗的海干散货指数(BDI)</x:v>
      </x:c>
      <x:c r="F38" s="21" t="str">
        <x:v>S0031550</x:v>
      </x:c>
      <x:c r="G38" s="21" t="str">
        <x:v>运输/流通</x:v>
      </x:c>
      <x:c r="H38" s="21" t="str">
        <x:v>指数</x:v>
      </x:c>
      <x:c r="I38" s="13" t="str">
        <x:v>波罗的海运价指数:干散货(BDI)</x:v>
      </x:c>
      <x:c r="J38" s="21" t="str">
        <x:v>2160000004</x:v>
      </x:c>
      <x:c r="K38" s="13" t="str">
        <x:v>Baltic Freight Index: Dry Bulk(BDI)</x:v>
      </x:c>
      <x:c r="L38" s="21" t="str">
        <x:v>日</x:v>
      </x:c>
      <x:c r="M38" s="21" t="str"/>
      <x:c r="N38" s="21" t="str">
        <x:v>当期值</x:v>
      </x:c>
      <x:c r="O38" s="21" t="str"/>
      <x:c r="P38" s="21" t="str">
        <x:v>全球</x:v>
      </x:c>
      <x:c r="Q38" s="21" t="str">
        <x:v>波罗的海航运交易所</x:v>
      </x:c>
      <x:c r="R38" s="21" t="str">
        <x:v>1988-10-19</x:v>
      </x:c>
      <x:c r="S38" s="21" t="str">
        <x:v>2026-08-07</x:v>
      </x:c>
      <x:c r="T38" s="21" t="n">
        <x:v>1</x:v>
      </x:c>
      <x:c r="U38" s="13" t="str">
        <x:v>目标=unknown；候选=unknown</x:v>
      </x:c>
      <x:c r="V38" s="13" t="str">
        <x:v>英文名已核对：Baltic Freight Index: Dry Bulk(BDI)</x:v>
      </x:c>
      <x:c r="W38" s="13" t="str">
        <x:v>中文核心统计对象未见明显冲突；仍需数值对账</x:v>
      </x:c>
      <x:c r="X38" s="13" t="str">
        <x:v>元数据未发现关键冲突</x:v>
      </x:c>
      <x:c r="Y38" s="13" t="str">
        <x:v>无明显元数据冲突</x:v>
      </x:c>
      <x:c r="Z38" s="13" t="str">
        <x:v>进入数值与发布日期对账</x:v>
      </x:c>
      <x:c r="AA38" s="13" t="str">
        <x:v>元数据 isUpdate 只表示更新状态；正式回测仍须检查观测级 publishDate。</x:v>
      </x:c>
      <x:c r="AB38" s="21" t="str">
        <x:v>getEcoDataIndTraffictransport</x:v>
      </x:c>
      <x:c r="AC38" s="21" t="str">
        <x:v>145</x:v>
      </x:c>
      <x:c r="AD38" s="21" t="str">
        <x:v>优先审核表</x:v>
      </x:c>
    </x:row>
    <x:row r="39" ht="48" customHeight="1">
      <x:c r="A39" s="21" t="str">
        <x:v>黄色</x:v>
      </x:c>
      <x:c r="B39" s="21" t="str">
        <x:v>近似替代</x:v>
      </x:c>
      <x:c r="C39" s="21" t="str">
        <x:v>高</x:v>
      </x:c>
      <x:c r="D39" s="21" t="str">
        <x:v>801730</x:v>
      </x:c>
      <x:c r="E39" s="13" t="str">
        <x:v>中国:保有量:充电桩(公共)</x:v>
      </x:c>
      <x:c r="F39" s="21" t="str">
        <x:v>S6135847</x:v>
      </x:c>
      <x:c r="G39" s="21" t="str">
        <x:v>库存</x:v>
      </x:c>
      <x:c r="H39" s="21" t="str">
        <x:v>当期值</x:v>
      </x:c>
      <x:c r="I39" s="13" t="str">
        <x:v>保有量:公用充电桩:中国</x:v>
      </x:c>
      <x:c r="J39" s="21" t="str">
        <x:v>2070910753</x:v>
      </x:c>
      <x:c r="K39" s="13" t="str">
        <x:v>Stocks: Publicly Accessible Chargers: China</x:v>
      </x:c>
      <x:c r="L39" s="21" t="str">
        <x:v>年</x:v>
      </x:c>
      <x:c r="M39" s="21" t="str">
        <x:v>个</x:v>
      </x:c>
      <x:c r="N39" s="21" t="str">
        <x:v>当期值</x:v>
      </x:c>
      <x:c r="O39" s="21" t="str">
        <x:v>全国</x:v>
      </x:c>
      <x:c r="P39" s="21" t="str">
        <x:v>中国</x:v>
      </x:c>
      <x:c r="Q39" s="21" t="str">
        <x:v>国际能源署</x:v>
      </x:c>
      <x:c r="R39" s="21" t="str">
        <x:v>2014-12-31</x:v>
      </x:c>
      <x:c r="S39" s="21" t="str">
        <x:v>2025-12-31</x:v>
      </x:c>
      <x:c r="T39" s="21" t="n">
        <x:v>1</x:v>
      </x:c>
      <x:c r="U39" s="13" t="str">
        <x:v>目标=broad；候选=broad</x:v>
      </x:c>
      <x:c r="V39" s="13" t="str">
        <x:v>名称对应</x:v>
      </x:c>
      <x:c r="W39" s="13" t="str">
        <x:v>公共充电桩保有量一致</x:v>
      </x:c>
      <x:c r="X39" s="13" t="str">
        <x:v>均为中国公共充电桩保有量，但 UQER 为 IEA 年频数据，更新频率明显较低。</x:v>
      </x:c>
      <x:c r="Y39" s="13" t="str">
        <x:v>黄色被下调；频率降低；来源不同</x:v>
      </x:c>
      <x:c r="Z39" s="13" t="str">
        <x:v>分开保存；通过因子稳定性检验后再使用</x:v>
      </x:c>
      <x:c r="AA39" s="13" t="str">
        <x:v>元数据 isUpdate 只表示更新状态；正式回测仍须检查观测级 publishDate。</x:v>
      </x:c>
      <x:c r="AB39" s="21" t="str">
        <x:v>getEcoDataIndAutomobile</x:v>
      </x:c>
      <x:c r="AC39" s="21" t="str">
        <x:v>161</x:v>
      </x:c>
      <x:c r="AD39" s="21" t="str">
        <x:v>完整候选表</x:v>
      </x:c>
    </x:row>
    <x:row r="40" ht="48" customHeight="1">
      <x:c r="A40" s="21" t="str">
        <x:v>黄色</x:v>
      </x:c>
      <x:c r="B40" s="22" t="str">
        <x:v>可直接替代</x:v>
      </x:c>
      <x:c r="C40" s="21" t="str">
        <x:v>低</x:v>
      </x:c>
      <x:c r="D40" s="21" t="str">
        <x:v>801730</x:v>
      </x:c>
      <x:c r="E40" s="13" t="str">
        <x:v>中国:电网基本建设投资完成额:累计同比</x:v>
      </x:c>
      <x:c r="F40" s="21" t="str">
        <x:v>S5108466</x:v>
      </x:c>
      <x:c r="G40" s="21" t="str">
        <x:v>需求</x:v>
      </x:c>
      <x:c r="H40" s="21" t="str">
        <x:v>同比</x:v>
      </x:c>
      <x:c r="I40" s="13" t="str">
        <x:v>电网基本建设工程投资完成:累计同比</x:v>
      </x:c>
      <x:c r="J40" s="21" t="str">
        <x:v>2020104982</x:v>
      </x:c>
      <x:c r="K40" s="13" t="str">
        <x:v>Power Grid Infrastructure Investment Completed: Cumulative YoY</x:v>
      </x:c>
      <x:c r="L40" s="21" t="str">
        <x:v>月</x:v>
      </x:c>
      <x:c r="M40" s="21" t="str">
        <x:v>%</x:v>
      </x:c>
      <x:c r="N40" s="21" t="str">
        <x:v>累计同比</x:v>
      </x:c>
      <x:c r="O40" s="21" t="str">
        <x:v>全国</x:v>
      </x:c>
      <x:c r="P40" s="21" t="str">
        <x:v>中国</x:v>
      </x:c>
      <x:c r="Q40" s="21" t="str">
        <x:v>中国电力企业联合会</x:v>
      </x:c>
      <x:c r="R40" s="21" t="str">
        <x:v>2009-12-31</x:v>
      </x:c>
      <x:c r="S40" s="21" t="str">
        <x:v>2026-06-30</x:v>
      </x:c>
      <x:c r="T40" s="21" t="n">
        <x:v>1</x:v>
      </x:c>
      <x:c r="U40" s="13" t="str">
        <x:v>目标=broad；候选=broad</x:v>
      </x:c>
      <x:c r="V40" s="13" t="str">
        <x:v>英文名已核对：Power Grid Infrastructure Investment Completed: Cumulative YoY</x:v>
      </x:c>
      <x:c r="W40" s="13" t="str">
        <x:v>中文核心统计对象未见明显冲突；仍需数值对账</x:v>
      </x:c>
      <x:c r="X40" s="13" t="str">
        <x:v>元数据未发现关键冲突</x:v>
      </x:c>
      <x:c r="Y40" s="13" t="str">
        <x:v>无明显元数据冲突</x:v>
      </x:c>
      <x:c r="Z40" s="13" t="str">
        <x:v>进入数值与发布日期对账</x:v>
      </x:c>
      <x:c r="AA40" s="13" t="str">
        <x:v>元数据 isUpdate 只表示更新状态；正式回测仍须检查观测级 publishDate。</x:v>
      </x:c>
      <x:c r="AB40" s="21" t="str">
        <x:v>getEcoDataIndEnergy</x:v>
      </x:c>
      <x:c r="AC40" s="21" t="str">
        <x:v>162</x:v>
      </x:c>
      <x:c r="AD40" s="21" t="str">
        <x:v>优先审核表</x:v>
      </x:c>
    </x:row>
    <x:row r="41" ht="48" customHeight="1">
      <x:c r="A41" s="23" t="str">
        <x:v>绿色</x:v>
      </x:c>
      <x:c r="B41" s="26" t="str">
        <x:v>可直接替代</x:v>
      </x:c>
      <x:c r="C41" s="23" t="str">
        <x:v>中</x:v>
      </x:c>
      <x:c r="D41" s="23" t="str">
        <x:v>801730</x:v>
      </x:c>
      <x:c r="E41" s="14" t="str">
        <x:v>中国:电源基本建设投资完成额:累计同比</x:v>
      </x:c>
      <x:c r="F41" s="23" t="str">
        <x:v>S5108461</x:v>
      </x:c>
      <x:c r="G41" s="23" t="str">
        <x:v>需求</x:v>
      </x:c>
      <x:c r="H41" s="23" t="str">
        <x:v>同比</x:v>
      </x:c>
      <x:c r="I41" s="14" t="str">
        <x:v>电源工程投资完成:累计同比</x:v>
      </x:c>
      <x:c r="J41" s="23" t="str">
        <x:v>2020104977</x:v>
      </x:c>
      <x:c r="K41" s="14" t="str">
        <x:v>Completed Investments in Power Generation Projects: Cumulative YoY</x:v>
      </x:c>
      <x:c r="L41" s="23" t="str">
        <x:v>月</x:v>
      </x:c>
      <x:c r="M41" s="23" t="str">
        <x:v>%</x:v>
      </x:c>
      <x:c r="N41" s="23" t="str">
        <x:v>累计同比</x:v>
      </x:c>
      <x:c r="O41" s="23" t="str">
        <x:v>全国</x:v>
      </x:c>
      <x:c r="P41" s="23" t="str">
        <x:v>中国</x:v>
      </x:c>
      <x:c r="Q41" s="23" t="str">
        <x:v>中国电力企业联合会</x:v>
      </x:c>
      <x:c r="R41" s="23" t="str">
        <x:v>2009-12-31</x:v>
      </x:c>
      <x:c r="S41" s="23" t="str">
        <x:v>2026-06-30</x:v>
      </x:c>
      <x:c r="T41" s="23" t="n">
        <x:v>1</x:v>
      </x:c>
      <x:c r="U41" s="14" t="str">
        <x:v>目标=broad；候选=broad</x:v>
      </x:c>
      <x:c r="V41" s="14" t="str">
        <x:v>英文名已核对：Completed Investments in Power Generation Projects: Cumulative YoY</x:v>
      </x:c>
      <x:c r="W41" s="14" t="str">
        <x:v>中文核心统计对象未见明显冲突；仍需数值对账</x:v>
      </x:c>
      <x:c r="X41" s="14" t="str">
        <x:v>元数据未发现关键冲突</x:v>
      </x:c>
      <x:c r="Y41" s="14" t="str">
        <x:v>绿色复核通过；无明显元数据冲突</x:v>
      </x:c>
      <x:c r="Z41" s="14" t="str">
        <x:v>进入数值与发布日期对账</x:v>
      </x:c>
      <x:c r="AA41" s="14" t="str">
        <x:v>元数据 isUpdate 只表示更新状态；正式回测仍须检查观测级 publishDate。</x:v>
      </x:c>
      <x:c r="AB41" s="23" t="str">
        <x:v>getEcoDataIndEnergy</x:v>
      </x:c>
      <x:c r="AC41" s="23" t="str">
        <x:v>164</x:v>
      </x:c>
      <x:c r="AD41" s="23" t="str">
        <x:v>完整候选表</x:v>
      </x:c>
    </x:row>
    <x:row r="42" ht="48" customHeight="1">
      <x:c r="A42" s="21" t="str">
        <x:v>黄色</x:v>
      </x:c>
      <x:c r="B42" s="22" t="str">
        <x:v>可直接替代</x:v>
      </x:c>
      <x:c r="C42" s="21" t="str">
        <x:v>低</x:v>
      </x:c>
      <x:c r="D42" s="21" t="str">
        <x:v>801180</x:v>
      </x:c>
      <x:c r="E42" s="13" t="str">
        <x:v>中国:30大中城市:成交面积:商品房</x:v>
      </x:c>
      <x:c r="F42" s="21" t="str">
        <x:v>S2707380</x:v>
      </x:c>
      <x:c r="G42" s="21" t="str">
        <x:v>需求</x:v>
      </x:c>
      <x:c r="H42" s="21" t="str">
        <x:v>当期值</x:v>
      </x:c>
      <x:c r="I42" s="13" t="str">
        <x:v>30大中城市:商品房成交面积</x:v>
      </x:c>
      <x:c r="J42" s="21" t="str">
        <x:v>2170926744</x:v>
      </x:c>
      <x:c r="K42" s="13" t="str">
        <x:v>30 Large and Medium Cities: Traned Area:Real Estate Transactions</x:v>
      </x:c>
      <x:c r="L42" s="21" t="str">
        <x:v>日</x:v>
      </x:c>
      <x:c r="M42" s="21" t="str">
        <x:v>万平方米</x:v>
      </x:c>
      <x:c r="N42" s="21" t="str">
        <x:v>当期值</x:v>
      </x:c>
      <x:c r="O42" s="21" t="str"/>
      <x:c r="P42" s="21" t="str">
        <x:v>中国</x:v>
      </x:c>
      <x:c r="Q42" s="21" t="str">
        <x:v>Datayes!</x:v>
      </x:c>
      <x:c r="R42" s="21" t="str">
        <x:v>2010-01-01</x:v>
      </x:c>
      <x:c r="S42" s="21" t="str">
        <x:v>2026-08-06</x:v>
      </x:c>
      <x:c r="T42" s="21" t="n">
        <x:v>1</x:v>
      </x:c>
      <x:c r="U42" s="13" t="str">
        <x:v>目标=broad；候选=中国（元数据 country）</x:v>
      </x:c>
      <x:c r="V42" s="13" t="str">
        <x:v>英文名已核对：30 Large and Medium Cities: Traned Area:Real Estate Transactions</x:v>
      </x:c>
      <x:c r="W42" s="13" t="str">
        <x:v>中文核心统计对象未见明显冲突；仍需数值对账</x:v>
      </x:c>
      <x:c r="X42" s="13" t="str">
        <x:v>元数据未发现关键冲突</x:v>
      </x:c>
      <x:c r="Y42" s="13" t="str">
        <x:v>无明显元数据冲突</x:v>
      </x:c>
      <x:c r="Z42" s="13" t="str">
        <x:v>进入数值与发布日期对账</x:v>
      </x:c>
      <x:c r="AA42" s="13" t="str">
        <x:v>元数据 isUpdate 只表示更新状态；正式回测仍须检查观测级 publishDate。</x:v>
      </x:c>
      <x:c r="AB42" s="21" t="str">
        <x:v>getEcoDataIndRealestate</x:v>
      </x:c>
      <x:c r="AC42" s="21" t="str">
        <x:v>167</x:v>
      </x:c>
      <x:c r="AD42" s="21" t="str">
        <x:v>优先审核表</x:v>
      </x:c>
    </x:row>
    <x:row r="43" ht="48" customHeight="1">
      <x:c r="A43" s="23" t="str">
        <x:v>绿色</x:v>
      </x:c>
      <x:c r="B43" s="24" t="str">
        <x:v>不可替代</x:v>
      </x:c>
      <x:c r="C43" s="23" t="str">
        <x:v>高</x:v>
      </x:c>
      <x:c r="D43" s="23" t="str">
        <x:v>801180</x:v>
      </x:c>
      <x:c r="E43" s="14" t="str">
        <x:v>深圳:预计供应房源套数:商品房</x:v>
      </x:c>
      <x:c r="F43" s="23" t="str">
        <x:v>X7769997</x:v>
      </x:c>
      <x:c r="G43" s="23" t="str">
        <x:v>产量</x:v>
      </x:c>
      <x:c r="H43" s="23" t="str">
        <x:v>当期值</x:v>
      </x:c>
      <x:c r="I43" s="14" t="str">
        <x:v>商品房:可售套数:深圳</x:v>
      </x:c>
      <x:c r="J43" s="23" t="str">
        <x:v>2170729410</x:v>
      </x:c>
      <x:c r="K43" s="14" t="str"/>
      <x:c r="L43" s="23" t="str">
        <x:v>季</x:v>
      </x:c>
      <x:c r="M43" s="23" t="str">
        <x:v>套</x:v>
      </x:c>
      <x:c r="N43" s="23" t="str">
        <x:v>当期值</x:v>
      </x:c>
      <x:c r="O43" s="23" t="str">
        <x:v>深圳市</x:v>
      </x:c>
      <x:c r="P43" s="23" t="str">
        <x:v>中国</x:v>
      </x:c>
      <x:c r="Q43" s="23" t="str">
        <x:v>中国房地产信息网</x:v>
      </x:c>
      <x:c r="R43" s="23" t="str">
        <x:v>2009-03-31</x:v>
      </x:c>
      <x:c r="S43" s="23" t="str">
        <x:v>2024-03-31</x:v>
      </x:c>
      <x:c r="T43" s="23" t="n">
        <x:v>1</x:v>
      </x:c>
      <x:c r="U43" s="14" t="str">
        <x:v>目标=local；候选=local</x:v>
      </x:c>
      <x:c r="V43" s="14" t="str">
        <x:v>名称对应</x:v>
      </x:c>
      <x:c r="W43" s="14" t="str">
        <x:v>计划供应≠可售库存</x:v>
      </x:c>
      <x:c r="X43" s="14" t="str">
        <x:v>预计供应房源是未来新增供给，可售套数是现有库存，两者时点和含义不同。</x:v>
      </x:c>
      <x:c r="Y43" s="14" t="str">
        <x:v>统计对象冲突</x:v>
      </x:c>
      <x:c r="Z43" s="14" t="str">
        <x:v>移出替代映射；查看更优候选</x:v>
      </x:c>
      <x:c r="AA43" s="14" t="str">
        <x:v>元数据 isUpdate 只表示更新状态；正式回测仍须检查观测级 publishDate。</x:v>
      </x:c>
      <x:c r="AB43" s="23" t="str">
        <x:v>getEcoDataIndRealestate</x:v>
      </x:c>
      <x:c r="AC43" s="23" t="str">
        <x:v>168</x:v>
      </x:c>
      <x:c r="AD43" s="23" t="str">
        <x:v>完整候选表</x:v>
      </x:c>
    </x:row>
    <x:row r="44" ht="48" customHeight="1">
      <x:c r="A44" s="23" t="str">
        <x:v>绿色</x:v>
      </x:c>
      <x:c r="B44" s="23" t="str">
        <x:v>近似替代</x:v>
      </x:c>
      <x:c r="C44" s="23" t="str">
        <x:v>中</x:v>
      </x:c>
      <x:c r="D44" s="23" t="str">
        <x:v>801790</x:v>
      </x:c>
      <x:c r="E44" s="14" t="str">
        <x:v>中国:保费收入:保险公司:累计值</x:v>
      </x:c>
      <x:c r="F44" s="23" t="str">
        <x:v>M0012260</x:v>
      </x:c>
      <x:c r="G44" s="23" t="str">
        <x:v>需求</x:v>
      </x:c>
      <x:c r="H44" s="23" t="str">
        <x:v>累计值</x:v>
      </x:c>
      <x:c r="I44" s="14" t="str">
        <x:v>保费收入:原保险:累计值</x:v>
      </x:c>
      <x:c r="J44" s="23" t="str">
        <x:v>1070005226</x:v>
      </x:c>
      <x:c r="K44" s="14" t="str">
        <x:v>Original Insurance Premium Income: Original Insurance: Cumulative Value</x:v>
      </x:c>
      <x:c r="L44" s="23" t="str">
        <x:v>月</x:v>
      </x:c>
      <x:c r="M44" s="23" t="str">
        <x:v>万元</x:v>
      </x:c>
      <x:c r="N44" s="23" t="str">
        <x:v>累计值</x:v>
      </x:c>
      <x:c r="O44" s="23" t="str">
        <x:v>全国</x:v>
      </x:c>
      <x:c r="P44" s="23" t="str">
        <x:v>中国</x:v>
      </x:c>
      <x:c r="Q44" s="23" t="str">
        <x:v>中国保险业监督管理委员会</x:v>
      </x:c>
      <x:c r="R44" s="23" t="str">
        <x:v>1999-01-31</x:v>
      </x:c>
      <x:c r="S44" s="23" t="str">
        <x:v>2026-06-30</x:v>
      </x:c>
      <x:c r="T44" s="23" t="n">
        <x:v>1</x:v>
      </x:c>
      <x:c r="U44" s="14" t="str">
        <x:v>目标=broad；候选=broad</x:v>
      </x:c>
      <x:c r="V44" s="14" t="str">
        <x:v>名称对应</x:v>
      </x:c>
      <x:c r="W44" s="14" t="str">
        <x:v>原保险保费收入接近但不必然等于全部保费</x:v>
      </x:c>
      <x:c r="X44" s="14" t="str">
        <x:v>原保险保费收入是监管口径中的核心保费收入，与保险公司保费总收入接近但范围可能更窄。</x:v>
      </x:c>
      <x:c r="Y44" s="14" t="str">
        <x:v>统计范围可能缩窄</x:v>
      </x:c>
      <x:c r="Z44" s="14" t="str">
        <x:v>分开保存；通过因子稳定性检验后再使用</x:v>
      </x:c>
      <x:c r="AA44" s="14" t="str">
        <x:v>元数据 isUpdate 只表示更新状态；正式回测仍须检查观测级 publishDate。</x:v>
      </x:c>
      <x:c r="AB44" s="23" t="str">
        <x:v>getEcoDataIndFinancialservices</x:v>
      </x:c>
      <x:c r="AC44" s="23" t="str">
        <x:v>185</x:v>
      </x:c>
      <x:c r="AD44" s="23" t="str">
        <x:v>完整候选表</x:v>
      </x:c>
    </x:row>
    <x:row r="45" ht="48" customHeight="1">
      <x:c r="A45" s="21" t="str">
        <x:v>黄色</x:v>
      </x:c>
      <x:c r="B45" s="22" t="str">
        <x:v>可直接替代</x:v>
      </x:c>
      <x:c r="C45" s="21" t="str">
        <x:v>低</x:v>
      </x:c>
      <x:c r="D45" s="21" t="str">
        <x:v>801880</x:v>
      </x:c>
      <x:c r="E45" s="13" t="str">
        <x:v>中国:日均销量(当周,厂家零售):乘用车:同比</x:v>
      </x:c>
      <x:c r="F45" s="21" t="str">
        <x:v>S6126414</x:v>
      </x:c>
      <x:c r="G45" s="21" t="str">
        <x:v>需求</x:v>
      </x:c>
      <x:c r="H45" s="21" t="str">
        <x:v>同比</x:v>
      </x:c>
      <x:c r="I45" s="13" t="str">
        <x:v>当周日均销量:乘用车:厂家零售:同比</x:v>
      </x:c>
      <x:c r="J45" s="21" t="str">
        <x:v>2070928297</x:v>
      </x:c>
      <x:c r="K45" s="13" t="str"/>
      <x:c r="L45" s="21" t="str">
        <x:v>周</x:v>
      </x:c>
      <x:c r="M45" s="21" t="str">
        <x:v>%</x:v>
      </x:c>
      <x:c r="N45" s="21" t="str">
        <x:v>当期同比</x:v>
      </x:c>
      <x:c r="O45" s="21" t="str">
        <x:v>全国</x:v>
      </x:c>
      <x:c r="P45" s="21" t="str">
        <x:v>中国</x:v>
      </x:c>
      <x:c r="Q45" s="21" t="str">
        <x:v>全国乘用车市场信息联席会</x:v>
      </x:c>
      <x:c r="R45" s="21" t="str">
        <x:v>2010-11-05</x:v>
      </x:c>
      <x:c r="S45" s="21" t="str">
        <x:v>2026-07-31</x:v>
      </x:c>
      <x:c r="T45" s="21" t="n">
        <x:v>1</x:v>
      </x:c>
      <x:c r="U45" s="13" t="str">
        <x:v>目标=broad；候选=broad</x:v>
      </x:c>
      <x:c r="V45" s="13" t="str">
        <x:v>UQER 未提供英文名；已按中文名和说明复核</x:v>
      </x:c>
      <x:c r="W45" s="13" t="str">
        <x:v>中文核心统计对象未见明显冲突；仍需数值对账</x:v>
      </x:c>
      <x:c r="X45" s="13" t="str">
        <x:v>元数据未发现关键冲突</x:v>
      </x:c>
      <x:c r="Y45" s="13" t="str">
        <x:v>无明显元数据冲突</x:v>
      </x:c>
      <x:c r="Z45" s="13" t="str">
        <x:v>进入数值与发布日期对账</x:v>
      </x:c>
      <x:c r="AA45" s="13" t="str">
        <x:v>元数据 isUpdate 只表示更新状态；正式回测仍须检查观测级 publishDate。</x:v>
      </x:c>
      <x:c r="AB45" s="21" t="str">
        <x:v>getEcoDataIndAutomobile</x:v>
      </x:c>
      <x:c r="AC45" s="21" t="str">
        <x:v>190</x:v>
      </x:c>
      <x:c r="AD45" s="21" t="str">
        <x:v>优先审核表</x:v>
      </x:c>
    </x:row>
    <x:row r="46" ht="48" customHeight="1">
      <x:c r="A46" s="21" t="str">
        <x:v>黄色</x:v>
      </x:c>
      <x:c r="B46" s="22" t="str">
        <x:v>可直接替代</x:v>
      </x:c>
      <x:c r="C46" s="21" t="str">
        <x:v>低</x:v>
      </x:c>
      <x:c r="D46" s="21" t="str">
        <x:v>801880</x:v>
      </x:c>
      <x:c r="E46" s="13" t="str">
        <x:v>中国:日均销量(当周,厂家批发):乘用车:同比</x:v>
      </x:c>
      <x:c r="F46" s="21" t="str">
        <x:v>S6126412</x:v>
      </x:c>
      <x:c r="G46" s="21" t="str">
        <x:v>需求</x:v>
      </x:c>
      <x:c r="H46" s="21" t="str">
        <x:v>同比</x:v>
      </x:c>
      <x:c r="I46" s="13" t="str">
        <x:v>当周日均销量:乘用车:厂家批发:同比</x:v>
      </x:c>
      <x:c r="J46" s="21" t="str">
        <x:v>2070928298</x:v>
      </x:c>
      <x:c r="K46" s="13" t="str"/>
      <x:c r="L46" s="21" t="str">
        <x:v>周</x:v>
      </x:c>
      <x:c r="M46" s="21" t="str">
        <x:v>%</x:v>
      </x:c>
      <x:c r="N46" s="21" t="str">
        <x:v>当期同比</x:v>
      </x:c>
      <x:c r="O46" s="21" t="str">
        <x:v>全国</x:v>
      </x:c>
      <x:c r="P46" s="21" t="str">
        <x:v>中国</x:v>
      </x:c>
      <x:c r="Q46" s="21" t="str">
        <x:v>全国乘用车市场信息联席会</x:v>
      </x:c>
      <x:c r="R46" s="21" t="str">
        <x:v>2015-03-06</x:v>
      </x:c>
      <x:c r="S46" s="21" t="str">
        <x:v>2026-07-31</x:v>
      </x:c>
      <x:c r="T46" s="21" t="n">
        <x:v>1</x:v>
      </x:c>
      <x:c r="U46" s="13" t="str">
        <x:v>目标=broad；候选=broad</x:v>
      </x:c>
      <x:c r="V46" s="13" t="str">
        <x:v>UQER 未提供英文名；已按中文名和说明复核</x:v>
      </x:c>
      <x:c r="W46" s="13" t="str">
        <x:v>中文核心统计对象未见明显冲突；仍需数值对账</x:v>
      </x:c>
      <x:c r="X46" s="13" t="str">
        <x:v>元数据未发现关键冲突</x:v>
      </x:c>
      <x:c r="Y46" s="13" t="str">
        <x:v>无明显元数据冲突</x:v>
      </x:c>
      <x:c r="Z46" s="13" t="str">
        <x:v>进入数值与发布日期对账</x:v>
      </x:c>
      <x:c r="AA46" s="13" t="str">
        <x:v>元数据 isUpdate 只表示更新状态；正式回测仍须检查观测级 publishDate。</x:v>
      </x:c>
      <x:c r="AB46" s="21" t="str">
        <x:v>getEcoDataIndAutomobile</x:v>
      </x:c>
      <x:c r="AC46" s="21" t="str">
        <x:v>191</x:v>
      </x:c>
      <x:c r="AD46" s="21" t="str">
        <x:v>优先审核表</x:v>
      </x:c>
    </x:row>
    <x:row r="47" ht="48" customHeight="1">
      <x:c r="A47" s="23" t="str">
        <x:v>绿色</x:v>
      </x:c>
      <x:c r="B47" s="23" t="str">
        <x:v>仅补充</x:v>
      </x:c>
      <x:c r="C47" s="23" t="str">
        <x:v>中</x:v>
      </x:c>
      <x:c r="D47" s="23" t="str">
        <x:v>801880</x:v>
      </x:c>
      <x:c r="E47" s="14" t="str">
        <x:v>中国:出口数量:乘用车:当月值</x:v>
      </x:c>
      <x:c r="F47" s="23" t="str">
        <x:v>S0270095</x:v>
      </x:c>
      <x:c r="G47" s="23" t="str">
        <x:v>需求</x:v>
      </x:c>
      <x:c r="H47" s="23" t="str">
        <x:v>当期值</x:v>
      </x:c>
      <x:c r="I47" s="14" t="str">
        <x:v>出口数量:汽车:乘用车:柴油汽车:当月值</x:v>
      </x:c>
      <x:c r="J47" s="23" t="str">
        <x:v>2070201005</x:v>
      </x:c>
      <x:c r="K47" s="14" t="str">
        <x:v>Export Volume: Automobile: Passenger Vehicles: Diesel Vehicles: Current Value (Month)</x:v>
      </x:c>
      <x:c r="L47" s="23" t="str">
        <x:v>月</x:v>
      </x:c>
      <x:c r="M47" s="23" t="str">
        <x:v>辆</x:v>
      </x:c>
      <x:c r="N47" s="23" t="str">
        <x:v>当期值</x:v>
      </x:c>
      <x:c r="O47" s="23" t="str">
        <x:v>全国</x:v>
      </x:c>
      <x:c r="P47" s="23" t="str">
        <x:v>中国</x:v>
      </x:c>
      <x:c r="Q47" s="23" t="str">
        <x:v>Datayes!</x:v>
      </x:c>
      <x:c r="R47" s="23" t="str">
        <x:v>2016-01-31</x:v>
      </x:c>
      <x:c r="S47" s="23" t="str">
        <x:v>2023-12-31</x:v>
      </x:c>
      <x:c r="T47" s="23" t="n">
        <x:v>1</x:v>
      </x:c>
      <x:c r="U47" s="14" t="str">
        <x:v>目标=broad；候选=broad</x:v>
      </x:c>
      <x:c r="V47" s="14" t="str">
        <x:v>名称对应</x:v>
      </x:c>
      <x:c r="W47" s="14" t="str">
        <x:v>柴油乘用车⊂全部乘用车</x:v>
      </x:c>
      <x:c r="X47" s="14" t="str">
        <x:v>柴油乘用车只是乘用车出口子项，不能单独替代乘用车出口总量。</x:v>
      </x:c>
      <x:c r="Y47" s="14" t="str">
        <x:v>动力类型子项</x:v>
      </x:c>
      <x:c r="Z47" s="14" t="str">
        <x:v>作为新增解释变量，不替换原序列</x:v>
      </x:c>
      <x:c r="AA47" s="14" t="str">
        <x:v>元数据 isUpdate 只表示更新状态；正式回测仍须检查观测级 publishDate。</x:v>
      </x:c>
      <x:c r="AB47" s="23" t="str">
        <x:v>getEcoDataIndAutomobile</x:v>
      </x:c>
      <x:c r="AC47" s="23" t="str">
        <x:v>196</x:v>
      </x:c>
      <x:c r="AD47" s="23" t="str">
        <x:v>完整候选表</x:v>
      </x:c>
    </x:row>
    <x:row r="48" ht="48" customHeight="1">
      <x:c r="A48" s="23" t="str">
        <x:v>绿色</x:v>
      </x:c>
      <x:c r="B48" s="23" t="str">
        <x:v>仅补充</x:v>
      </x:c>
      <x:c r="C48" s="23" t="str">
        <x:v>中</x:v>
      </x:c>
      <x:c r="D48" s="23" t="str">
        <x:v>801880</x:v>
      </x:c>
      <x:c r="E48" s="14" t="str">
        <x:v>中国:出口数量:乘用车:当月值</x:v>
      </x:c>
      <x:c r="F48" s="23" t="str">
        <x:v>S0270095</x:v>
      </x:c>
      <x:c r="G48" s="23" t="str">
        <x:v>需求</x:v>
      </x:c>
      <x:c r="H48" s="23" t="str">
        <x:v>当期值</x:v>
      </x:c>
      <x:c r="I48" s="14" t="str">
        <x:v>出口数量:汽车:乘用车:汽油汽车:当月值</x:v>
      </x:c>
      <x:c r="J48" s="23" t="str">
        <x:v>2070201006</x:v>
      </x:c>
      <x:c r="K48" s="14" t="str">
        <x:v>Export Volume: Automobile: Passenger Vehicles: Gasoline Vehicles: Current Value (Month)</x:v>
      </x:c>
      <x:c r="L48" s="23" t="str">
        <x:v>月</x:v>
      </x:c>
      <x:c r="M48" s="23" t="str">
        <x:v>辆</x:v>
      </x:c>
      <x:c r="N48" s="23" t="str">
        <x:v>当期值</x:v>
      </x:c>
      <x:c r="O48" s="23" t="str">
        <x:v>全国</x:v>
      </x:c>
      <x:c r="P48" s="23" t="str">
        <x:v>中国</x:v>
      </x:c>
      <x:c r="Q48" s="23" t="str">
        <x:v>Datayes!</x:v>
      </x:c>
      <x:c r="R48" s="23" t="str">
        <x:v>2016-01-31</x:v>
      </x:c>
      <x:c r="S48" s="23" t="str">
        <x:v>2023-12-31</x:v>
      </x:c>
      <x:c r="T48" s="23" t="n">
        <x:v>1</x:v>
      </x:c>
      <x:c r="U48" s="14" t="str">
        <x:v>目标=broad；候选=broad</x:v>
      </x:c>
      <x:c r="V48" s="14" t="str">
        <x:v>名称对应</x:v>
      </x:c>
      <x:c r="W48" s="14" t="str">
        <x:v>汽油乘用车⊂全部乘用车</x:v>
      </x:c>
      <x:c r="X48" s="14" t="str">
        <x:v>汽油乘用车只是乘用车出口子项，不能单独替代乘用车出口总量。</x:v>
      </x:c>
      <x:c r="Y48" s="14" t="str">
        <x:v>动力类型子项</x:v>
      </x:c>
      <x:c r="Z48" s="14" t="str">
        <x:v>作为新增解释变量，不替换原序列</x:v>
      </x:c>
      <x:c r="AA48" s="14" t="str">
        <x:v>元数据 isUpdate 只表示更新状态；正式回测仍须检查观测级 publishDate。</x:v>
      </x:c>
      <x:c r="AB48" s="23" t="str">
        <x:v>getEcoDataIndAutomobile</x:v>
      </x:c>
      <x:c r="AC48" s="23" t="str">
        <x:v>196</x:v>
      </x:c>
      <x:c r="AD48" s="23" t="str">
        <x:v>完整候选表</x:v>
      </x:c>
    </x:row>
    <x:row r="49" ht="48" customHeight="1">
      <x:c r="A49" s="21" t="str">
        <x:v>黄色</x:v>
      </x:c>
      <x:c r="B49" s="22" t="str">
        <x:v>可直接替代</x:v>
      </x:c>
      <x:c r="C49" s="21" t="str">
        <x:v>低</x:v>
      </x:c>
      <x:c r="D49" s="21" t="str">
        <x:v>801880</x:v>
      </x:c>
      <x:c r="E49" s="13" t="str">
        <x:v>中国:出口金额:汽车零配件:当月同比</x:v>
      </x:c>
      <x:c r="F49" s="21" t="str">
        <x:v>M7071823</x:v>
      </x:c>
      <x:c r="G49" s="21" t="str">
        <x:v>需求</x:v>
      </x:c>
      <x:c r="H49" s="21" t="str">
        <x:v>同比</x:v>
      </x:c>
      <x:c r="I49" s="13" t="str">
        <x:v>汽车零件:出口金额:当月同比</x:v>
      </x:c>
      <x:c r="J49" s="21" t="str">
        <x:v>2070200136</x:v>
      </x:c>
      <x:c r="K49" s="13" t="str">
        <x:v>Exports Value: Auto Parts: YoY</x:v>
      </x:c>
      <x:c r="L49" s="21" t="str">
        <x:v>月</x:v>
      </x:c>
      <x:c r="M49" s="21" t="str">
        <x:v>%</x:v>
      </x:c>
      <x:c r="N49" s="21" t="str">
        <x:v>当期同比</x:v>
      </x:c>
      <x:c r="O49" s="21" t="str"/>
      <x:c r="P49" s="21" t="str">
        <x:v>中国</x:v>
      </x:c>
      <x:c r="Q49" s="21" t="str">
        <x:v>海关总署</x:v>
      </x:c>
      <x:c r="R49" s="21" t="str">
        <x:v>1999-01-31</x:v>
      </x:c>
      <x:c r="S49" s="21" t="str">
        <x:v>2026-06-30</x:v>
      </x:c>
      <x:c r="T49" s="21" t="n">
        <x:v>1</x:v>
      </x:c>
      <x:c r="U49" s="13" t="str">
        <x:v>目标=broad；候选=中国（元数据 country）</x:v>
      </x:c>
      <x:c r="V49" s="13" t="str">
        <x:v>英文名已核对：Exports Value: Auto Parts: YoY</x:v>
      </x:c>
      <x:c r="W49" s="13" t="str">
        <x:v>中文核心统计对象未见明显冲突；仍需数值对账</x:v>
      </x:c>
      <x:c r="X49" s="13" t="str">
        <x:v>元数据未发现关键冲突</x:v>
      </x:c>
      <x:c r="Y49" s="13" t="str">
        <x:v>无明显元数据冲突</x:v>
      </x:c>
      <x:c r="Z49" s="13" t="str">
        <x:v>进入数值与发布日期对账</x:v>
      </x:c>
      <x:c r="AA49" s="13" t="str">
        <x:v>元数据 isUpdate 只表示更新状态；正式回测仍须检查观测级 publishDate。</x:v>
      </x:c>
      <x:c r="AB49" s="21" t="str">
        <x:v>getEcoDataIndAutomobile</x:v>
      </x:c>
      <x:c r="AC49" s="21" t="str">
        <x:v>197</x:v>
      </x:c>
      <x:c r="AD49" s="21" t="str">
        <x:v>优先审核表</x:v>
      </x:c>
    </x:row>
    <x:row r="50" ht="48" customHeight="1">
      <x:c r="A50" s="23" t="str">
        <x:v>绿色</x:v>
      </x:c>
      <x:c r="B50" s="23" t="str">
        <x:v>仅补充</x:v>
      </x:c>
      <x:c r="C50" s="23" t="str">
        <x:v>中</x:v>
      </x:c>
      <x:c r="D50" s="23" t="str">
        <x:v>801880</x:v>
      </x:c>
      <x:c r="E50" s="14" t="str">
        <x:v>中国:出口数量:车用发动机:当月值</x:v>
      </x:c>
      <x:c r="F50" s="23" t="str">
        <x:v>S0270099</x:v>
      </x:c>
      <x:c r="G50" s="23" t="str">
        <x:v>需求</x:v>
      </x:c>
      <x:c r="H50" s="23" t="str">
        <x:v>当期值</x:v>
      </x:c>
      <x:c r="I50" s="14" t="str">
        <x:v>出口数量:车用往复活塞发动机,排量≤50ml(840731):当月值</x:v>
      </x:c>
      <x:c r="J50" s="23" t="str">
        <x:v>2087013505</x:v>
      </x:c>
      <x:c r="K50" s="14" t="str">
        <x:v>Export Quantity: Reciprocating Piston Engine For Vehicle, Displacement ≤ 50Ml(840731): Current Month Value</x:v>
      </x:c>
      <x:c r="L50" s="23" t="str">
        <x:v>月</x:v>
      </x:c>
      <x:c r="M50" s="23" t="str">
        <x:v>台</x:v>
      </x:c>
      <x:c r="N50" s="23" t="str">
        <x:v>当期值</x:v>
      </x:c>
      <x:c r="O50" s="23" t="str">
        <x:v>中国</x:v>
      </x:c>
      <x:c r="P50" s="23" t="str">
        <x:v>中国</x:v>
      </x:c>
      <x:c r="Q50" s="23" t="str">
        <x:v>海关总署</x:v>
      </x:c>
      <x:c r="R50" s="23" t="str">
        <x:v>2015-01-31</x:v>
      </x:c>
      <x:c r="S50" s="23" t="str">
        <x:v>2026-06-30</x:v>
      </x:c>
      <x:c r="T50" s="23" t="n">
        <x:v>1</x:v>
      </x:c>
      <x:c r="U50" s="14" t="str">
        <x:v>目标=broad；候选=broad</x:v>
      </x:c>
      <x:c r="V50" s="14" t="str">
        <x:v>名称对应</x:v>
      </x:c>
      <x:c r="W50" s="14" t="str">
        <x:v>≤50ml 发动机⊂全部车用发动机</x:v>
      </x:c>
      <x:c r="X50" s="14" t="str">
        <x:v>HS 840731 仅覆盖排量≤50ml 的车用往复式活塞发动机。</x:v>
      </x:c>
      <x:c r="Y50" s="14" t="str">
        <x:v>产品范围过窄</x:v>
      </x:c>
      <x:c r="Z50" s="14" t="str">
        <x:v>作为新增解释变量，不替换原序列</x:v>
      </x:c>
      <x:c r="AA50" s="14" t="str">
        <x:v>元数据 isUpdate 只表示更新状态；正式回测仍须检查观测级 publishDate。</x:v>
      </x:c>
      <x:c r="AB50" s="23" t="str">
        <x:v>getEcoDataIndMachineryequipment</x:v>
      </x:c>
      <x:c r="AC50" s="23" t="str">
        <x:v>200</x:v>
      </x:c>
      <x:c r="AD50" s="23" t="str">
        <x:v>完整候选表</x:v>
      </x:c>
    </x:row>
    <x:row r="51" ht="48" customHeight="1">
      <x:c r="A51" s="21" t="str">
        <x:v>黄色</x:v>
      </x:c>
      <x:c r="B51" s="22" t="str">
        <x:v>可直接替代</x:v>
      </x:c>
      <x:c r="C51" s="21" t="str">
        <x:v>低</x:v>
      </x:c>
      <x:c r="D51" s="21" t="str">
        <x:v>801880</x:v>
      </x:c>
      <x:c r="E51" s="13" t="str">
        <x:v>中国:销量:二轮摩托车(150-250mL)</x:v>
      </x:c>
      <x:c r="F51" s="21" t="str">
        <x:v>S6000822</x:v>
      </x:c>
      <x:c r="G51" s="21" t="str">
        <x:v>需求</x:v>
      </x:c>
      <x:c r="H51" s="21" t="str">
        <x:v>当期值</x:v>
      </x:c>
      <x:c r="I51" s="13" t="str">
        <x:v>销量:摩托车:二轮摩托车:150ml&lt;排量≤250ml</x:v>
      </x:c>
      <x:c r="J51" s="21" t="str">
        <x:v>2070814407</x:v>
      </x:c>
      <x:c r="K51" s="13" t="str">
        <x:v>Sales Volume: Motorcycle: Two-Wheeled Motorcycles: 150ml &lt; Swept Volume ≤ 250ml</x:v>
      </x:c>
      <x:c r="L51" s="21" t="str">
        <x:v>年</x:v>
      </x:c>
      <x:c r="M51" s="21" t="str">
        <x:v>辆</x:v>
      </x:c>
      <x:c r="N51" s="21" t="str">
        <x:v>当期值</x:v>
      </x:c>
      <x:c r="O51" s="21" t="str"/>
      <x:c r="P51" s="21" t="str">
        <x:v>中国</x:v>
      </x:c>
      <x:c r="Q51" s="21" t="str">
        <x:v>中国汽车工业年鉴</x:v>
      </x:c>
      <x:c r="R51" s="21" t="str">
        <x:v>1996-12-31</x:v>
      </x:c>
      <x:c r="S51" s="21" t="str">
        <x:v>2024-12-31</x:v>
      </x:c>
      <x:c r="T51" s="21" t="n">
        <x:v>1</x:v>
      </x:c>
      <x:c r="U51" s="13" t="str">
        <x:v>目标=broad；候选=中国（元数据 country）</x:v>
      </x:c>
      <x:c r="V51" s="13" t="str">
        <x:v>英文名已核对：Sales Volume: Motorcycle: Two-Wheeled Motorcycles: 150ml &lt; Swept Volume ≤ 250ml</x:v>
      </x:c>
      <x:c r="W51" s="13" t="str">
        <x:v>中文核心统计对象未见明显冲突；仍需数值对账</x:v>
      </x:c>
      <x:c r="X51" s="13" t="str">
        <x:v>元数据未发现关键冲突</x:v>
      </x:c>
      <x:c r="Y51" s="13" t="str">
        <x:v>无明显元数据冲突</x:v>
      </x:c>
      <x:c r="Z51" s="13" t="str">
        <x:v>进入数值与发布日期对账</x:v>
      </x:c>
      <x:c r="AA51" s="13" t="str">
        <x:v>元数据 isUpdate 只表示更新状态；正式回测仍须检查观测级 publishDate。</x:v>
      </x:c>
      <x:c r="AB51" s="21" t="str">
        <x:v>getEcoDataIndAutomobile</x:v>
      </x:c>
      <x:c r="AC51" s="21" t="str">
        <x:v>204</x:v>
      </x:c>
      <x:c r="AD51" s="21" t="str">
        <x:v>优先审核表</x:v>
      </x:c>
    </x:row>
    <x:row r="52" ht="48" customHeight="1">
      <x:c r="A52" s="21" t="str">
        <x:v>黄色</x:v>
      </x:c>
      <x:c r="B52" s="22" t="str">
        <x:v>可直接替代</x:v>
      </x:c>
      <x:c r="C52" s="21" t="str">
        <x:v>低</x:v>
      </x:c>
      <x:c r="D52" s="21" t="str">
        <x:v>801880</x:v>
      </x:c>
      <x:c r="E52" s="13" t="str">
        <x:v>中国:销量:二轮摩托车(250-400mL)</x:v>
      </x:c>
      <x:c r="F52" s="21" t="str">
        <x:v>S6137433</x:v>
      </x:c>
      <x:c r="G52" s="21" t="str">
        <x:v>需求</x:v>
      </x:c>
      <x:c r="H52" s="21" t="str">
        <x:v>当期值</x:v>
      </x:c>
      <x:c r="I52" s="13" t="str">
        <x:v>销量:摩托车:二轮摩托车:250ml&lt;排量≤400ml</x:v>
      </x:c>
      <x:c r="J52" s="21" t="str">
        <x:v>2070814408</x:v>
      </x:c>
      <x:c r="K52" s="13" t="str">
        <x:v>Sales Volume: Motorcycle: Two-Wheeled Motorcycles: 250ml &lt; Swept Volume ≤ 400ml</x:v>
      </x:c>
      <x:c r="L52" s="21" t="str">
        <x:v>年</x:v>
      </x:c>
      <x:c r="M52" s="21" t="str">
        <x:v>辆</x:v>
      </x:c>
      <x:c r="N52" s="21" t="str">
        <x:v>当期值</x:v>
      </x:c>
      <x:c r="O52" s="21" t="str"/>
      <x:c r="P52" s="21" t="str">
        <x:v>中国</x:v>
      </x:c>
      <x:c r="Q52" s="21" t="str">
        <x:v>中国汽车工业年鉴</x:v>
      </x:c>
      <x:c r="R52" s="21" t="str">
        <x:v>2010-12-31</x:v>
      </x:c>
      <x:c r="S52" s="21" t="str">
        <x:v>2024-12-31</x:v>
      </x:c>
      <x:c r="T52" s="21" t="n">
        <x:v>1</x:v>
      </x:c>
      <x:c r="U52" s="13" t="str">
        <x:v>目标=broad；候选=中国（元数据 country）</x:v>
      </x:c>
      <x:c r="V52" s="13" t="str">
        <x:v>英文名已核对：Sales Volume: Motorcycle: Two-Wheeled Motorcycles: 250ml &lt; Swept Volume ≤ 400ml</x:v>
      </x:c>
      <x:c r="W52" s="13" t="str">
        <x:v>中文核心统计对象未见明显冲突；仍需数值对账</x:v>
      </x:c>
      <x:c r="X52" s="13" t="str">
        <x:v>元数据未发现关键冲突</x:v>
      </x:c>
      <x:c r="Y52" s="13" t="str">
        <x:v>无明显元数据冲突</x:v>
      </x:c>
      <x:c r="Z52" s="13" t="str">
        <x:v>进入数值与发布日期对账</x:v>
      </x:c>
      <x:c r="AA52" s="13" t="str">
        <x:v>元数据 isUpdate 只表示更新状态；正式回测仍须检查观测级 publishDate。</x:v>
      </x:c>
      <x:c r="AB52" s="21" t="str">
        <x:v>getEcoDataIndAutomobile</x:v>
      </x:c>
      <x:c r="AC52" s="21" t="str">
        <x:v>205</x:v>
      </x:c>
      <x:c r="AD52" s="21" t="str">
        <x:v>优先审核表</x:v>
      </x:c>
    </x:row>
    <x:row r="53" ht="48" customHeight="1">
      <x:c r="A53" s="25" t="str">
        <x:v>蓝色</x:v>
      </x:c>
      <x:c r="B53" s="25" t="str">
        <x:v>仅补充</x:v>
      </x:c>
      <x:c r="C53" s="25" t="str">
        <x:v>中</x:v>
      </x:c>
      <x:c r="D53" s="25" t="str">
        <x:v>801880</x:v>
      </x:c>
      <x:c r="E53" s="15" t="str">
        <x:v>中国:新注册民用汽车数量:载货汽车(重型)</x:v>
      </x:c>
      <x:c r="F53" s="25" t="str">
        <x:v>S0041869</x:v>
      </x:c>
      <x:c r="G53" s="25" t="str">
        <x:v>需求</x:v>
      </x:c>
      <x:c r="H53" s="25" t="str">
        <x:v>当期值</x:v>
      </x:c>
      <x:c r="I53" s="15" t="str">
        <x:v>民用汽车注册量:载货汽车:重型</x:v>
      </x:c>
      <x:c r="J53" s="25" t="str">
        <x:v>2070601566</x:v>
      </x:c>
      <x:c r="K53" s="15" t="str">
        <x:v>Number of Registered Civillian Automobile: Truck: Heavy</x:v>
      </x:c>
      <x:c r="L53" s="25" t="str">
        <x:v>年</x:v>
      </x:c>
      <x:c r="M53" s="25" t="str">
        <x:v>万辆</x:v>
      </x:c>
      <x:c r="N53" s="25" t="str">
        <x:v>当期值</x:v>
      </x:c>
      <x:c r="O53" s="25" t="str"/>
      <x:c r="P53" s="25" t="str">
        <x:v>中国</x:v>
      </x:c>
      <x:c r="Q53" s="25" t="str">
        <x:v>国家统计局</x:v>
      </x:c>
      <x:c r="R53" s="25" t="str">
        <x:v>2002-12-31</x:v>
      </x:c>
      <x:c r="S53" s="25" t="str">
        <x:v>2024-12-31</x:v>
      </x:c>
      <x:c r="T53" s="25" t="n">
        <x:v>1</x:v>
      </x:c>
      <x:c r="U53" s="15" t="str">
        <x:v>目标=broad；候选=中国（元数据 country）</x:v>
      </x:c>
      <x:c r="V53" s="15" t="str">
        <x:v>名称对应</x:v>
      </x:c>
      <x:c r="W53" s="15" t="str">
        <x:v>注册保有量≠新注册量</x:v>
      </x:c>
      <x:c r="X53" s="15" t="str">
        <x:v>民用重型载货汽车注册保有量可反映存量，但不能代替新注册数量。</x:v>
      </x:c>
      <x:c r="Y53" s="15" t="str">
        <x:v>新增量/存量冲突</x:v>
      </x:c>
      <x:c r="Z53" s="15" t="str">
        <x:v>作为新增解释变量，不替换原序列</x:v>
      </x:c>
      <x:c r="AA53" s="15" t="str">
        <x:v>元数据 isUpdate 只表示更新状态；正式回测仍须检查观测级 publishDate。</x:v>
      </x:c>
      <x:c r="AB53" s="25" t="str">
        <x:v>getEcoDataIndAutomobile</x:v>
      </x:c>
      <x:c r="AC53" s="25" t="str">
        <x:v>209</x:v>
      </x:c>
      <x:c r="AD53" s="25" t="str">
        <x:v>完整候选表</x:v>
      </x:c>
    </x:row>
    <x:row r="54" ht="48" customHeight="1">
      <x:c r="A54" s="23" t="str">
        <x:v>绿色</x:v>
      </x:c>
      <x:c r="B54" s="23" t="str">
        <x:v>仅补充</x:v>
      </x:c>
      <x:c r="C54" s="23" t="str">
        <x:v>中</x:v>
      </x:c>
      <x:c r="D54" s="23" t="str">
        <x:v>801880</x:v>
      </x:c>
      <x:c r="E54" s="14" t="str">
        <x:v>中国:出口数量:商用车:当月同比</x:v>
      </x:c>
      <x:c r="F54" s="23" t="str">
        <x:v>S6119113</x:v>
      </x:c>
      <x:c r="G54" s="23" t="str">
        <x:v>需求</x:v>
      </x:c>
      <x:c r="H54" s="23" t="str">
        <x:v>同比</x:v>
      </x:c>
      <x:c r="I54" s="14" t="str">
        <x:v>出口数量:汽车:商用车:柴油汽车:当月同比</x:v>
      </x:c>
      <x:c r="J54" s="23" t="str">
        <x:v>2070201105</x:v>
      </x:c>
      <x:c r="K54" s="14" t="str">
        <x:v>Export Volume: Automobile: Commercial Vehicles: Diesel Vehicles: Month YoY</x:v>
      </x:c>
      <x:c r="L54" s="23" t="str">
        <x:v>月</x:v>
      </x:c>
      <x:c r="M54" s="23" t="str">
        <x:v>%</x:v>
      </x:c>
      <x:c r="N54" s="23" t="str">
        <x:v>当期同比</x:v>
      </x:c>
      <x:c r="O54" s="23" t="str">
        <x:v>全国</x:v>
      </x:c>
      <x:c r="P54" s="23" t="str">
        <x:v>中国</x:v>
      </x:c>
      <x:c r="Q54" s="23" t="str">
        <x:v>Datayes!</x:v>
      </x:c>
      <x:c r="R54" s="23" t="str">
        <x:v>2016-01-31</x:v>
      </x:c>
      <x:c r="S54" s="23" t="str">
        <x:v>2023-12-31</x:v>
      </x:c>
      <x:c r="T54" s="23" t="n">
        <x:v>1</x:v>
      </x:c>
      <x:c r="U54" s="14" t="str">
        <x:v>目标=broad；候选=broad</x:v>
      </x:c>
      <x:c r="V54" s="14" t="str">
        <x:v>名称对应</x:v>
      </x:c>
      <x:c r="W54" s="14" t="str">
        <x:v>柴油商用车⊂全部商用车</x:v>
      </x:c>
      <x:c r="X54" s="14" t="str">
        <x:v>柴油商用车出口同比只是总商用车出口的动力类型子项。</x:v>
      </x:c>
      <x:c r="Y54" s="14" t="str">
        <x:v>动力类型子项</x:v>
      </x:c>
      <x:c r="Z54" s="14" t="str">
        <x:v>作为新增解释变量，不替换原序列</x:v>
      </x:c>
      <x:c r="AA54" s="14" t="str">
        <x:v>元数据 isUpdate 只表示更新状态；正式回测仍须检查观测级 publishDate。</x:v>
      </x:c>
      <x:c r="AB54" s="23" t="str">
        <x:v>getEcoDataIndAutomobile</x:v>
      </x:c>
      <x:c r="AC54" s="23" t="str">
        <x:v>214</x:v>
      </x:c>
      <x:c r="AD54" s="23" t="str">
        <x:v>完整候选表</x:v>
      </x:c>
    </x:row>
    <x:row r="55" ht="48" customHeight="1">
      <x:c r="A55" s="23" t="str">
        <x:v>绿色</x:v>
      </x:c>
      <x:c r="B55" s="23" t="str">
        <x:v>仅补充</x:v>
      </x:c>
      <x:c r="C55" s="23" t="str">
        <x:v>中</x:v>
      </x:c>
      <x:c r="D55" s="23" t="str">
        <x:v>801880</x:v>
      </x:c>
      <x:c r="E55" s="14" t="str">
        <x:v>中国:出口数量:商用车:当月同比</x:v>
      </x:c>
      <x:c r="F55" s="23" t="str">
        <x:v>S6119113</x:v>
      </x:c>
      <x:c r="G55" s="23" t="str">
        <x:v>需求</x:v>
      </x:c>
      <x:c r="H55" s="23" t="str">
        <x:v>同比</x:v>
      </x:c>
      <x:c r="I55" s="14" t="str">
        <x:v>出口数量:汽车:商用车:汽油汽车:当月同比</x:v>
      </x:c>
      <x:c r="J55" s="23" t="str">
        <x:v>2070201106</x:v>
      </x:c>
      <x:c r="K55" s="14" t="str">
        <x:v>Export Volume: Automobile: Commercial Vehicles: Gasoline Vehicles: Month YoY</x:v>
      </x:c>
      <x:c r="L55" s="23" t="str">
        <x:v>月</x:v>
      </x:c>
      <x:c r="M55" s="23" t="str">
        <x:v>%</x:v>
      </x:c>
      <x:c r="N55" s="23" t="str">
        <x:v>当期同比</x:v>
      </x:c>
      <x:c r="O55" s="23" t="str">
        <x:v>全国</x:v>
      </x:c>
      <x:c r="P55" s="23" t="str">
        <x:v>中国</x:v>
      </x:c>
      <x:c r="Q55" s="23" t="str">
        <x:v>Datayes!</x:v>
      </x:c>
      <x:c r="R55" s="23" t="str">
        <x:v>2016-01-31</x:v>
      </x:c>
      <x:c r="S55" s="23" t="str">
        <x:v>2023-12-31</x:v>
      </x:c>
      <x:c r="T55" s="23" t="n">
        <x:v>1</x:v>
      </x:c>
      <x:c r="U55" s="14" t="str">
        <x:v>目标=broad；候选=broad</x:v>
      </x:c>
      <x:c r="V55" s="14" t="str">
        <x:v>名称对应</x:v>
      </x:c>
      <x:c r="W55" s="14" t="str">
        <x:v>汽油商用车⊂全部商用车</x:v>
      </x:c>
      <x:c r="X55" s="14" t="str">
        <x:v>汽油商用车出口同比只是总商用车出口的动力类型子项。</x:v>
      </x:c>
      <x:c r="Y55" s="14" t="str">
        <x:v>动力类型子项</x:v>
      </x:c>
      <x:c r="Z55" s="14" t="str">
        <x:v>作为新增解释变量，不替换原序列</x:v>
      </x:c>
      <x:c r="AA55" s="14" t="str">
        <x:v>元数据 isUpdate 只表示更新状态；正式回测仍须检查观测级 publishDate。</x:v>
      </x:c>
      <x:c r="AB55" s="23" t="str">
        <x:v>getEcoDataIndAutomobile</x:v>
      </x:c>
      <x:c r="AC55" s="23" t="str">
        <x:v>214</x:v>
      </x:c>
      <x:c r="AD55" s="23" t="str">
        <x:v>完整候选表</x:v>
      </x:c>
    </x:row>
    <x:row r="56" ht="48" customHeight="1">
      <x:c r="A56" s="23" t="str">
        <x:v>绿色</x:v>
      </x:c>
      <x:c r="B56" s="23" t="str">
        <x:v>仅补充</x:v>
      </x:c>
      <x:c r="C56" s="23" t="str">
        <x:v>中</x:v>
      </x:c>
      <x:c r="D56" s="23" t="str">
        <x:v>801880</x:v>
      </x:c>
      <x:c r="E56" s="14" t="str">
        <x:v>中国:出口数量:商用车:当月同比</x:v>
      </x:c>
      <x:c r="F56" s="23" t="str">
        <x:v>S6119113</x:v>
      </x:c>
      <x:c r="G56" s="23" t="str">
        <x:v>需求</x:v>
      </x:c>
      <x:c r="H56" s="23" t="str">
        <x:v>同比</x:v>
      </x:c>
      <x:c r="I56" s="14" t="str">
        <x:v>出口数量:汽车:商用车:客车:当月同比</x:v>
      </x:c>
      <x:c r="J56" s="23" t="str">
        <x:v>2070201113</x:v>
      </x:c>
      <x:c r="K56" s="14" t="str">
        <x:v>Export Volume: Automobile: Commercial Vehicles: Passenger Coaches: Month YoY</x:v>
      </x:c>
      <x:c r="L56" s="23" t="str">
        <x:v>月</x:v>
      </x:c>
      <x:c r="M56" s="23" t="str">
        <x:v>%</x:v>
      </x:c>
      <x:c r="N56" s="23" t="str">
        <x:v>当期同比</x:v>
      </x:c>
      <x:c r="O56" s="23" t="str">
        <x:v>全国</x:v>
      </x:c>
      <x:c r="P56" s="23" t="str">
        <x:v>中国</x:v>
      </x:c>
      <x:c r="Q56" s="23" t="str">
        <x:v>Datayes!</x:v>
      </x:c>
      <x:c r="R56" s="23" t="str">
        <x:v>2016-01-31</x:v>
      </x:c>
      <x:c r="S56" s="23" t="str">
        <x:v>2023-12-31</x:v>
      </x:c>
      <x:c r="T56" s="23" t="n">
        <x:v>1</x:v>
      </x:c>
      <x:c r="U56" s="14" t="str">
        <x:v>目标=broad；候选=broad</x:v>
      </x:c>
      <x:c r="V56" s="14" t="str">
        <x:v>名称对应</x:v>
      </x:c>
      <x:c r="W56" s="14" t="str">
        <x:v>客车⊂全部商用车</x:v>
      </x:c>
      <x:c r="X56" s="14" t="str">
        <x:v>客车出口同比只是商用车出口的车型子项。</x:v>
      </x:c>
      <x:c r="Y56" s="14" t="str">
        <x:v>车型子项</x:v>
      </x:c>
      <x:c r="Z56" s="14" t="str">
        <x:v>作为新增解释变量，不替换原序列</x:v>
      </x:c>
      <x:c r="AA56" s="14" t="str">
        <x:v>元数据 isUpdate 只表示更新状态；正式回测仍须检查观测级 publishDate。</x:v>
      </x:c>
      <x:c r="AB56" s="23" t="str">
        <x:v>getEcoDataIndAutomobile</x:v>
      </x:c>
      <x:c r="AC56" s="23" t="str">
        <x:v>214</x:v>
      </x:c>
      <x:c r="AD56" s="23" t="str">
        <x:v>完整候选表</x:v>
      </x:c>
    </x:row>
    <x:row r="57" ht="48" customHeight="1">
      <x:c r="A57" s="23" t="str">
        <x:v>绿色</x:v>
      </x:c>
      <x:c r="B57" s="23" t="str">
        <x:v>仅补充</x:v>
      </x:c>
      <x:c r="C57" s="23" t="str">
        <x:v>中</x:v>
      </x:c>
      <x:c r="D57" s="23" t="str">
        <x:v>801880</x:v>
      </x:c>
      <x:c r="E57" s="14" t="str">
        <x:v>中国:出口数量:商用车:当月同比</x:v>
      </x:c>
      <x:c r="F57" s="23" t="str">
        <x:v>S6119113</x:v>
      </x:c>
      <x:c r="G57" s="23" t="str">
        <x:v>需求</x:v>
      </x:c>
      <x:c r="H57" s="23" t="str">
        <x:v>同比</x:v>
      </x:c>
      <x:c r="I57" s="14" t="str">
        <x:v>出口数量:汽车:商用车:货车:当月同比</x:v>
      </x:c>
      <x:c r="J57" s="23" t="str">
        <x:v>2070201114</x:v>
      </x:c>
      <x:c r="K57" s="14" t="str">
        <x:v>Export Volume: Automobile: Commercial Vehicles: Trucks: Month YoY</x:v>
      </x:c>
      <x:c r="L57" s="23" t="str">
        <x:v>月</x:v>
      </x:c>
      <x:c r="M57" s="23" t="str">
        <x:v>%</x:v>
      </x:c>
      <x:c r="N57" s="23" t="str">
        <x:v>当期同比</x:v>
      </x:c>
      <x:c r="O57" s="23" t="str">
        <x:v>全国</x:v>
      </x:c>
      <x:c r="P57" s="23" t="str">
        <x:v>中国</x:v>
      </x:c>
      <x:c r="Q57" s="23" t="str">
        <x:v>Datayes!</x:v>
      </x:c>
      <x:c r="R57" s="23" t="str">
        <x:v>2016-01-31</x:v>
      </x:c>
      <x:c r="S57" s="23" t="str">
        <x:v>2023-12-31</x:v>
      </x:c>
      <x:c r="T57" s="23" t="n">
        <x:v>1</x:v>
      </x:c>
      <x:c r="U57" s="14" t="str">
        <x:v>目标=broad；候选=broad</x:v>
      </x:c>
      <x:c r="V57" s="14" t="str">
        <x:v>名称对应</x:v>
      </x:c>
      <x:c r="W57" s="14" t="str">
        <x:v>货车⊂全部商用车</x:v>
      </x:c>
      <x:c r="X57" s="14" t="str">
        <x:v>货车出口同比只是商用车出口的车型子项。</x:v>
      </x:c>
      <x:c r="Y57" s="14" t="str">
        <x:v>车型子项</x:v>
      </x:c>
      <x:c r="Z57" s="14" t="str">
        <x:v>作为新增解释变量，不替换原序列</x:v>
      </x:c>
      <x:c r="AA57" s="14" t="str">
        <x:v>元数据 isUpdate 只表示更新状态；正式回测仍须检查观测级 publishDate。</x:v>
      </x:c>
      <x:c r="AB57" s="23" t="str">
        <x:v>getEcoDataIndAutomobile</x:v>
      </x:c>
      <x:c r="AC57" s="23" t="str">
        <x:v>214</x:v>
      </x:c>
      <x:c r="AD57" s="23" t="str">
        <x:v>完整候选表</x:v>
      </x:c>
    </x:row>
    <x:row r="58" ht="48" customHeight="1">
      <x:c r="A58" s="23" t="str">
        <x:v>绿色</x:v>
      </x:c>
      <x:c r="B58" s="23" t="str">
        <x:v>仅补充</x:v>
      </x:c>
      <x:c r="C58" s="23" t="str">
        <x:v>中</x:v>
      </x:c>
      <x:c r="D58" s="23" t="str">
        <x:v>801880</x:v>
      </x:c>
      <x:c r="E58" s="14" t="str">
        <x:v>中国:出口数量:商用车:当月同比</x:v>
      </x:c>
      <x:c r="F58" s="23" t="str">
        <x:v>S6119113</x:v>
      </x:c>
      <x:c r="G58" s="23" t="str">
        <x:v>需求</x:v>
      </x:c>
      <x:c r="H58" s="23" t="str">
        <x:v>同比</x:v>
      </x:c>
      <x:c r="I58" s="14" t="str">
        <x:v>出口数量:汽车:商用车:半挂牵引车:当月同比</x:v>
      </x:c>
      <x:c r="J58" s="23" t="str">
        <x:v>2070201115</x:v>
      </x:c>
      <x:c r="K58" s="14" t="str">
        <x:v>Export Volume: Automobile: Commercial Vehicles: Semi-Trailer Towing Vehicles: Month YoY</x:v>
      </x:c>
      <x:c r="L58" s="23" t="str">
        <x:v>月</x:v>
      </x:c>
      <x:c r="M58" s="23" t="str">
        <x:v>%</x:v>
      </x:c>
      <x:c r="N58" s="23" t="str">
        <x:v>当期同比</x:v>
      </x:c>
      <x:c r="O58" s="23" t="str">
        <x:v>全国</x:v>
      </x:c>
      <x:c r="P58" s="23" t="str">
        <x:v>中国</x:v>
      </x:c>
      <x:c r="Q58" s="23" t="str">
        <x:v>Datayes!</x:v>
      </x:c>
      <x:c r="R58" s="23" t="str">
        <x:v>2016-01-31</x:v>
      </x:c>
      <x:c r="S58" s="23" t="str">
        <x:v>2023-12-31</x:v>
      </x:c>
      <x:c r="T58" s="23" t="n">
        <x:v>1</x:v>
      </x:c>
      <x:c r="U58" s="14" t="str">
        <x:v>目标=broad；候选=broad</x:v>
      </x:c>
      <x:c r="V58" s="14" t="str">
        <x:v>名称对应</x:v>
      </x:c>
      <x:c r="W58" s="14" t="str">
        <x:v>半挂牵引车⊂全部商用车</x:v>
      </x:c>
      <x:c r="X58" s="14" t="str">
        <x:v>半挂牵引车出口同比只是商用车出口的车型子项。</x:v>
      </x:c>
      <x:c r="Y58" s="14" t="str">
        <x:v>车型子项</x:v>
      </x:c>
      <x:c r="Z58" s="14" t="str">
        <x:v>作为新增解释变量，不替换原序列</x:v>
      </x:c>
      <x:c r="AA58" s="14" t="str">
        <x:v>元数据 isUpdate 只表示更新状态；正式回测仍须检查观测级 publishDate。</x:v>
      </x:c>
      <x:c r="AB58" s="23" t="str">
        <x:v>getEcoDataIndAutomobile</x:v>
      </x:c>
      <x:c r="AC58" s="23" t="str">
        <x:v>214</x:v>
      </x:c>
      <x:c r="AD58" s="23" t="str">
        <x:v>完整候选表</x:v>
      </x:c>
    </x:row>
    <x:row r="59" ht="48" customHeight="1">
      <x:c r="A59" s="23" t="str">
        <x:v>绿色</x:v>
      </x:c>
      <x:c r="B59" s="23" t="str">
        <x:v>仅补充</x:v>
      </x:c>
      <x:c r="C59" s="23" t="str">
        <x:v>中</x:v>
      </x:c>
      <x:c r="D59" s="23" t="str">
        <x:v>801880</x:v>
      </x:c>
      <x:c r="E59" s="14" t="str">
        <x:v>中国:销量:大型客车</x:v>
      </x:c>
      <x:c r="F59" s="23" t="str">
        <x:v>S6136074</x:v>
      </x:c>
      <x:c r="G59" s="23" t="str">
        <x:v>需求</x:v>
      </x:c>
      <x:c r="H59" s="23" t="str">
        <x:v>当期值</x:v>
      </x:c>
      <x:c r="I59" s="14" t="str">
        <x:v>客车销量:大型客车:环比</x:v>
      </x:c>
      <x:c r="J59" s="23" t="str">
        <x:v>2070115683</x:v>
      </x:c>
      <x:c r="K59" s="14" t="str">
        <x:v>Sales Volume: Completed Passenger Coaches: Large Passenger Coaches: Percent Change from Preceding Period</x:v>
      </x:c>
      <x:c r="L59" s="23" t="str">
        <x:v>月</x:v>
      </x:c>
      <x:c r="M59" s="23" t="str">
        <x:v>%</x:v>
      </x:c>
      <x:c r="N59" s="23" t="str">
        <x:v>当期环比</x:v>
      </x:c>
      <x:c r="O59" s="23" t="str">
        <x:v>全国</x:v>
      </x:c>
      <x:c r="P59" s="23" t="str">
        <x:v>中国</x:v>
      </x:c>
      <x:c r="Q59" s="23" t="str">
        <x:v>Datayes!</x:v>
      </x:c>
      <x:c r="R59" s="23" t="str">
        <x:v>2003-01-31</x:v>
      </x:c>
      <x:c r="S59" s="23" t="str">
        <x:v>2023-12-31</x:v>
      </x:c>
      <x:c r="T59" s="23" t="n">
        <x:v>1</x:v>
      </x:c>
      <x:c r="U59" s="14" t="str">
        <x:v>目标=broad；候选=broad</x:v>
      </x:c>
      <x:c r="V59" s="14" t="str">
        <x:v>名称对应</x:v>
      </x:c>
      <x:c r="W59" s="14" t="str">
        <x:v>环比≠销量原值</x:v>
      </x:c>
      <x:c r="X59" s="14" t="str">
        <x:v>大型客车销量环比只保留变化率，不能恢复销量水平。</x:v>
      </x:c>
      <x:c r="Y59" s="14" t="str">
        <x:v>统计口径冲突</x:v>
      </x:c>
      <x:c r="Z59" s="14" t="str">
        <x:v>作为新增解释变量，不替换原序列</x:v>
      </x:c>
      <x:c r="AA59" s="14" t="str">
        <x:v>元数据 isUpdate 只表示更新状态；正式回测仍须检查观测级 publishDate。</x:v>
      </x:c>
      <x:c r="AB59" s="23" t="str">
        <x:v>getEcoDataIndAutomobile</x:v>
      </x:c>
      <x:c r="AC59" s="23" t="str">
        <x:v>215</x:v>
      </x:c>
      <x:c r="AD59" s="23" t="str">
        <x:v>完整候选表</x:v>
      </x:c>
    </x:row>
    <x:row r="60" ht="48" customHeight="1">
      <x:c r="A60" s="21" t="str">
        <x:v>黄色</x:v>
      </x:c>
      <x:c r="B60" s="21" t="str">
        <x:v>仅补充</x:v>
      </x:c>
      <x:c r="C60" s="21" t="str">
        <x:v>高</x:v>
      </x:c>
      <x:c r="D60" s="21" t="str">
        <x:v>801110</x:v>
      </x:c>
      <x:c r="E60" s="13" t="str">
        <x:v>中国:销售金额:大家电:白电:空调:线下:当月值:同比</x:v>
      </x:c>
      <x:c r="F60" s="21" t="str">
        <x:v>O4783302</x:v>
      </x:c>
      <x:c r="G60" s="21" t="str">
        <x:v>需求</x:v>
      </x:c>
      <x:c r="H60" s="21" t="str">
        <x:v>同比</x:v>
      </x:c>
      <x:c r="I60" s="13" t="str">
        <x:v>总销售额:中央空调:当月同比</x:v>
      </x:c>
      <x:c r="J60" s="21" t="str">
        <x:v>2090102508</x:v>
      </x:c>
      <x:c r="K60" s="13" t="str">
        <x:v>Total Sales Volume: Central Air Conditioning: YoY</x:v>
      </x:c>
      <x:c r="L60" s="21" t="str">
        <x:v>月</x:v>
      </x:c>
      <x:c r="M60" s="21" t="str">
        <x:v>%</x:v>
      </x:c>
      <x:c r="N60" s="21" t="str">
        <x:v>当期同比</x:v>
      </x:c>
      <x:c r="O60" s="21" t="str"/>
      <x:c r="P60" s="21" t="str">
        <x:v>中国</x:v>
      </x:c>
      <x:c r="Q60" s="21" t="str">
        <x:v>Datayes!</x:v>
      </x:c>
      <x:c r="R60" s="21" t="str">
        <x:v>2012-01-31</x:v>
      </x:c>
      <x:c r="S60" s="21" t="str">
        <x:v>2016-07-31</x:v>
      </x:c>
      <x:c r="T60" s="21" t="n">
        <x:v>1</x:v>
      </x:c>
      <x:c r="U60" s="13" t="str">
        <x:v>目标=broad；候选=中国（元数据 country）</x:v>
      </x:c>
      <x:c r="V60" s="13" t="str">
        <x:v>名称对应</x:v>
      </x:c>
      <x:c r="W60" s="13" t="str">
        <x:v>中央空调≠家用空调；总销售≠线下销售</x:v>
      </x:c>
      <x:c r="X60" s="13" t="str">
        <x:v>中央空调总销售与线下家用白电空调销售的产品和渠道均不同。</x:v>
      </x:c>
      <x:c r="Y60" s="13" t="str">
        <x:v>黄色被下调；产品范围冲突；渠道冲突</x:v>
      </x:c>
      <x:c r="Z60" s="13" t="str">
        <x:v>作为新增解释变量，不替换原序列</x:v>
      </x:c>
      <x:c r="AA60" s="13" t="str">
        <x:v>元数据 isUpdate 只表示更新状态；正式回测仍须检查观测级 publishDate。</x:v>
      </x:c>
      <x:c r="AB60" s="21" t="str">
        <x:v>getEcoDataIndElectronic</x:v>
      </x:c>
      <x:c r="AC60" s="21" t="str">
        <x:v>218</x:v>
      </x:c>
      <x:c r="AD60" s="21" t="str">
        <x:v>完整候选表</x:v>
      </x:c>
    </x:row>
    <x:row r="61" ht="48" customHeight="1">
      <x:c r="A61" s="21" t="str">
        <x:v>黄色</x:v>
      </x:c>
      <x:c r="B61" s="22" t="str">
        <x:v>可直接替代</x:v>
      </x:c>
      <x:c r="C61" s="21" t="str">
        <x:v>低</x:v>
      </x:c>
      <x:c r="D61" s="21" t="str">
        <x:v>801110</x:v>
      </x:c>
      <x:c r="E61" s="13" t="str">
        <x:v>中国:销售金额:大家电:黑电:彩电:线下:当月值:同比</x:v>
      </x:c>
      <x:c r="F61" s="21" t="str">
        <x:v>W5704008</x:v>
      </x:c>
      <x:c r="G61" s="21" t="str">
        <x:v>需求</x:v>
      </x:c>
      <x:c r="H61" s="21" t="str">
        <x:v>同比</x:v>
      </x:c>
      <x:c r="I61" s="13" t="str">
        <x:v>国内家电线下市场:零售额:彩电:同比</x:v>
      </x:c>
      <x:c r="J61" s="21" t="str">
        <x:v>2090727388</x:v>
      </x:c>
      <x:c r="K61" s="13" t="str"/>
      <x:c r="L61" s="21" t="str">
        <x:v>月</x:v>
      </x:c>
      <x:c r="M61" s="21" t="str">
        <x:v>%</x:v>
      </x:c>
      <x:c r="N61" s="21" t="str">
        <x:v>当期同比</x:v>
      </x:c>
      <x:c r="O61" s="21" t="str"/>
      <x:c r="P61" s="21" t="str">
        <x:v>中国</x:v>
      </x:c>
      <x:c r="Q61" s="21" t="str">
        <x:v>Datayes!</x:v>
      </x:c>
      <x:c r="R61" s="21" t="str">
        <x:v>2019-01-31</x:v>
      </x:c>
      <x:c r="S61" s="21" t="str">
        <x:v>2025-07-31</x:v>
      </x:c>
      <x:c r="T61" s="21" t="n">
        <x:v>1</x:v>
      </x:c>
      <x:c r="U61" s="13" t="str">
        <x:v>目标=broad；候选=broad</x:v>
      </x:c>
      <x:c r="V61" s="13" t="str">
        <x:v>UQER 未提供英文名；已按中文名和说明复核</x:v>
      </x:c>
      <x:c r="W61" s="13" t="str">
        <x:v>中文核心统计对象未见明显冲突；仍需数值对账</x:v>
      </x:c>
      <x:c r="X61" s="13" t="str">
        <x:v>元数据未发现关键冲突</x:v>
      </x:c>
      <x:c r="Y61" s="13" t="str">
        <x:v>无明显元数据冲突</x:v>
      </x:c>
      <x:c r="Z61" s="13" t="str">
        <x:v>进入数值与发布日期对账</x:v>
      </x:c>
      <x:c r="AA61" s="13" t="str">
        <x:v>元数据 isUpdate 只表示更新状态；正式回测仍须检查观测级 publishDate。</x:v>
      </x:c>
      <x:c r="AB61" s="21" t="str">
        <x:v>getEcoDataIndElectronic</x:v>
      </x:c>
      <x:c r="AC61" s="21" t="str">
        <x:v>223</x:v>
      </x:c>
      <x:c r="AD61" s="21" t="str">
        <x:v>完整候选表</x:v>
      </x:c>
    </x:row>
    <x:row r="62" ht="48" customHeight="1">
      <x:c r="A62" s="23" t="str">
        <x:v>绿色</x:v>
      </x:c>
      <x:c r="B62" s="23" t="str">
        <x:v>近似替代</x:v>
      </x:c>
      <x:c r="C62" s="23" t="str">
        <x:v>中</x:v>
      </x:c>
      <x:c r="D62" s="23" t="str">
        <x:v>801110</x:v>
      </x:c>
      <x:c r="E62" s="14" t="str">
        <x:v>中国:销售金额:小家电:厨房小家电:线上:当月值:同比</x:v>
      </x:c>
      <x:c r="F62" s="23" t="str">
        <x:v>B3388236</x:v>
      </x:c>
      <x:c r="G62" s="23" t="str">
        <x:v>需求</x:v>
      </x:c>
      <x:c r="H62" s="23" t="str">
        <x:v>同比</x:v>
      </x:c>
      <x:c r="I62" s="14" t="str">
        <x:v>国内家电线上市场:零售额:小家电:同比</x:v>
      </x:c>
      <x:c r="J62" s="23" t="str">
        <x:v>2090727341</x:v>
      </x:c>
      <x:c r="K62" s="14" t="str"/>
      <x:c r="L62" s="23" t="str">
        <x:v>月</x:v>
      </x:c>
      <x:c r="M62" s="23" t="str">
        <x:v>%</x:v>
      </x:c>
      <x:c r="N62" s="23" t="str">
        <x:v>当期同比</x:v>
      </x:c>
      <x:c r="O62" s="23" t="str"/>
      <x:c r="P62" s="23" t="str">
        <x:v>中国</x:v>
      </x:c>
      <x:c r="Q62" s="23" t="str">
        <x:v>Datayes!</x:v>
      </x:c>
      <x:c r="R62" s="23" t="str">
        <x:v>2019-01-31</x:v>
      </x:c>
      <x:c r="S62" s="23" t="str">
        <x:v>2025-07-31</x:v>
      </x:c>
      <x:c r="T62" s="23" t="n">
        <x:v>1</x:v>
      </x:c>
      <x:c r="U62" s="14" t="str">
        <x:v>目标=broad；候选=broad</x:v>
      </x:c>
      <x:c r="V62" s="14" t="str">
        <x:v>名称对应</x:v>
      </x:c>
      <x:c r="W62" s="14" t="str">
        <x:v>厨房小家电⊂小家电</x:v>
      </x:c>
      <x:c r="X62" s="14" t="str">
        <x:v>线上小家电零售额同比方向一致，但产品范围大于厨房小家电。</x:v>
      </x:c>
      <x:c r="Y62" s="14" t="str">
        <x:v>产品范围更宽</x:v>
      </x:c>
      <x:c r="Z62" s="14" t="str">
        <x:v>分开保存；通过因子稳定性检验后再使用</x:v>
      </x:c>
      <x:c r="AA62" s="14" t="str">
        <x:v>元数据 isUpdate 只表示更新状态；正式回测仍须检查观测级 publishDate。</x:v>
      </x:c>
      <x:c r="AB62" s="23" t="str">
        <x:v>getEcoDataIndElectronic</x:v>
      </x:c>
      <x:c r="AC62" s="23" t="str">
        <x:v>225</x:v>
      </x:c>
      <x:c r="AD62" s="23" t="str">
        <x:v>完整候选表</x:v>
      </x:c>
    </x:row>
    <x:row r="63" ht="48" customHeight="1">
      <x:c r="A63" s="23" t="str">
        <x:v>绿色</x:v>
      </x:c>
      <x:c r="B63" s="23" t="str">
        <x:v>仅补充</x:v>
      </x:c>
      <x:c r="C63" s="23" t="str">
        <x:v>中</x:v>
      </x:c>
      <x:c r="D63" s="23" t="str">
        <x:v>801110</x:v>
      </x:c>
      <x:c r="E63" s="14" t="str">
        <x:v>中国:销售金额:小家电:厨房小家电:线上:当月值:同比</x:v>
      </x:c>
      <x:c r="F63" s="23" t="str">
        <x:v>B3388236</x:v>
      </x:c>
      <x:c r="G63" s="23" t="str">
        <x:v>需求</x:v>
      </x:c>
      <x:c r="H63" s="23" t="str">
        <x:v>同比</x:v>
      </x:c>
      <x:c r="I63" s="14" t="str">
        <x:v>国内家电线上市场:零售额:小家电:当月值</x:v>
      </x:c>
      <x:c r="J63" s="23" t="str">
        <x:v>2090727367</x:v>
      </x:c>
      <x:c r="K63" s="14" t="str"/>
      <x:c r="L63" s="23" t="str">
        <x:v>月</x:v>
      </x:c>
      <x:c r="M63" s="23" t="str">
        <x:v>亿元</x:v>
      </x:c>
      <x:c r="N63" s="23" t="str">
        <x:v>当期值</x:v>
      </x:c>
      <x:c r="O63" s="23" t="str"/>
      <x:c r="P63" s="23" t="str">
        <x:v>中国</x:v>
      </x:c>
      <x:c r="Q63" s="23" t="str">
        <x:v>Datayes!</x:v>
      </x:c>
      <x:c r="R63" s="23" t="str">
        <x:v>2019-01-31</x:v>
      </x:c>
      <x:c r="S63" s="23" t="str">
        <x:v>2024-09-30</x:v>
      </x:c>
      <x:c r="T63" s="23" t="n">
        <x:v>1</x:v>
      </x:c>
      <x:c r="U63" s="14" t="str">
        <x:v>目标=broad；候选=broad</x:v>
      </x:c>
      <x:c r="V63" s="14" t="str">
        <x:v>名称对应</x:v>
      </x:c>
      <x:c r="W63" s="14" t="str">
        <x:v>厨房小家电同比≠小家电销售额原值</x:v>
      </x:c>
      <x:c r="X63" s="14" t="str">
        <x:v>候选既扩大到全部小家电，又是零售额当月值而非同比。</x:v>
      </x:c>
      <x:c r="Y63" s="14" t="str">
        <x:v>产品范围更宽；统计口径冲突</x:v>
      </x:c>
      <x:c r="Z63" s="14" t="str">
        <x:v>作为新增解释变量，不替换原序列</x:v>
      </x:c>
      <x:c r="AA63" s="14" t="str">
        <x:v>元数据 isUpdate 只表示更新状态；正式回测仍须检查观测级 publishDate。</x:v>
      </x:c>
      <x:c r="AB63" s="23" t="str">
        <x:v>getEcoDataIndElectronic</x:v>
      </x:c>
      <x:c r="AC63" s="23" t="str">
        <x:v>225</x:v>
      </x:c>
      <x:c r="AD63" s="23" t="str">
        <x:v>完整候选表</x:v>
      </x:c>
    </x:row>
    <x:row r="64" ht="48" customHeight="1">
      <x:c r="A64" s="23" t="str">
        <x:v>绿色</x:v>
      </x:c>
      <x:c r="B64" s="23" t="str">
        <x:v>近似替代</x:v>
      </x:c>
      <x:c r="C64" s="23" t="str">
        <x:v>中</x:v>
      </x:c>
      <x:c r="D64" s="23" t="str">
        <x:v>801110</x:v>
      </x:c>
      <x:c r="E64" s="14" t="str">
        <x:v>中国:销售金额:小家电:厨房小家电:线下:当月值:同比</x:v>
      </x:c>
      <x:c r="F64" s="23" t="str">
        <x:v>X6324382</x:v>
      </x:c>
      <x:c r="G64" s="23" t="str">
        <x:v>需求</x:v>
      </x:c>
      <x:c r="H64" s="23" t="str">
        <x:v>同比</x:v>
      </x:c>
      <x:c r="I64" s="14" t="str">
        <x:v>国内家电线下市场:零售额:小家电:同比</x:v>
      </x:c>
      <x:c r="J64" s="23" t="str">
        <x:v>2090727340</x:v>
      </x:c>
      <x:c r="K64" s="14" t="str"/>
      <x:c r="L64" s="23" t="str">
        <x:v>月</x:v>
      </x:c>
      <x:c r="M64" s="23" t="str">
        <x:v>%</x:v>
      </x:c>
      <x:c r="N64" s="23" t="str">
        <x:v>当期同比</x:v>
      </x:c>
      <x:c r="O64" s="23" t="str"/>
      <x:c r="P64" s="23" t="str">
        <x:v>中国</x:v>
      </x:c>
      <x:c r="Q64" s="23" t="str">
        <x:v>Datayes!</x:v>
      </x:c>
      <x:c r="R64" s="23" t="str">
        <x:v>2019-01-31</x:v>
      </x:c>
      <x:c r="S64" s="23" t="str">
        <x:v>2025-07-31</x:v>
      </x:c>
      <x:c r="T64" s="23" t="n">
        <x:v>1</x:v>
      </x:c>
      <x:c r="U64" s="14" t="str">
        <x:v>目标=broad；候选=broad</x:v>
      </x:c>
      <x:c r="V64" s="14" t="str">
        <x:v>名称对应</x:v>
      </x:c>
      <x:c r="W64" s="14" t="str">
        <x:v>厨房小家电⊂小家电</x:v>
      </x:c>
      <x:c r="X64" s="14" t="str">
        <x:v>线下渠道和同比口径一致，但候选覆盖全部小家电，不只厨房小家电。</x:v>
      </x:c>
      <x:c r="Y64" s="14" t="str">
        <x:v>产品范围更宽</x:v>
      </x:c>
      <x:c r="Z64" s="14" t="str">
        <x:v>分开保存；通过因子稳定性检验后再使用</x:v>
      </x:c>
      <x:c r="AA64" s="14" t="str">
        <x:v>元数据 isUpdate 只表示更新状态；正式回测仍须检查观测级 publishDate。</x:v>
      </x:c>
      <x:c r="AB64" s="23" t="str">
        <x:v>getEcoDataIndElectronic</x:v>
      </x:c>
      <x:c r="AC64" s="23" t="str">
        <x:v>226</x:v>
      </x:c>
      <x:c r="AD64" s="23" t="str">
        <x:v>完整候选表</x:v>
      </x:c>
    </x:row>
    <x:row r="65" ht="48" customHeight="1">
      <x:c r="A65" s="21" t="str">
        <x:v>黄色</x:v>
      </x:c>
      <x:c r="B65" s="21" t="str">
        <x:v>近似替代</x:v>
      </x:c>
      <x:c r="C65" s="21" t="str">
        <x:v>高</x:v>
      </x:c>
      <x:c r="D65" s="21" t="str">
        <x:v>801130</x:v>
      </x:c>
      <x:c r="E65" s="13" t="str">
        <x:v>中国:存货:纺织服装、服饰业:同比</x:v>
      </x:c>
      <x:c r="F65" s="21" t="str">
        <x:v>M5786869</x:v>
      </x:c>
      <x:c r="G65" s="21" t="str">
        <x:v>库存</x:v>
      </x:c>
      <x:c r="H65" s="21" t="str">
        <x:v>同比</x:v>
      </x:c>
      <x:c r="I65" s="13" t="str">
        <x:v>工业企业:存货:纺织服装、服饰业:累计同比</x:v>
      </x:c>
      <x:c r="J65" s="21" t="str">
        <x:v>1020006590</x:v>
      </x:c>
      <x:c r="K65" s="13" t="str">
        <x:v>Inventory: Textile and Apparel Industry: Cumulative YoY</x:v>
      </x:c>
      <x:c r="L65" s="21" t="str">
        <x:v>月</x:v>
      </x:c>
      <x:c r="M65" s="21" t="str">
        <x:v>%</x:v>
      </x:c>
      <x:c r="N65" s="21" t="str">
        <x:v>累计同比</x:v>
      </x:c>
      <x:c r="O65" s="21" t="str">
        <x:v>全国</x:v>
      </x:c>
      <x:c r="P65" s="21" t="str">
        <x:v>中国</x:v>
      </x:c>
      <x:c r="Q65" s="21" t="str">
        <x:v>国家统计局</x:v>
      </x:c>
      <x:c r="R65" s="21" t="str">
        <x:v>2012-02-29</x:v>
      </x:c>
      <x:c r="S65" s="21" t="str">
        <x:v>2026-06-30</x:v>
      </x:c>
      <x:c r="T65" s="21" t="n">
        <x:v>1</x:v>
      </x:c>
      <x:c r="U65" s="13" t="str">
        <x:v>目标=broad；候选=broad</x:v>
      </x:c>
      <x:c r="V65" s="13" t="str">
        <x:v>名称对应</x:v>
      </x:c>
      <x:c r="W65" s="13" t="str">
        <x:v>纺织服装服饰业存货一致</x:v>
      </x:c>
      <x:c r="X65" s="13" t="str">
        <x:v>行业和同比方向一致，但 UQER 标注累计同比；需核对其是否为期末存货同比。</x:v>
      </x:c>
      <x:c r="Y65" s="13" t="str">
        <x:v>黄色被下调；累计/期末口径待核</x:v>
      </x:c>
      <x:c r="Z65" s="13" t="str">
        <x:v>分开保存；通过因子稳定性检验后再使用</x:v>
      </x:c>
      <x:c r="AA65" s="13" t="str">
        <x:v>元数据 isUpdate 只表示更新状态；正式回测仍须检查观测级 publishDate。</x:v>
      </x:c>
      <x:c r="AB65" s="21" t="str">
        <x:v>getEcoDataChina</x:v>
      </x:c>
      <x:c r="AC65" s="21" t="str">
        <x:v>230</x:v>
      </x:c>
      <x:c r="AD65" s="21" t="str">
        <x:v>优先审核表</x:v>
      </x:c>
    </x:row>
    <x:row r="66" ht="48" customHeight="1">
      <x:c r="A66" s="21" t="str">
        <x:v>黄色</x:v>
      </x:c>
      <x:c r="B66" s="22" t="str">
        <x:v>可直接替代</x:v>
      </x:c>
      <x:c r="C66" s="21" t="str">
        <x:v>低</x:v>
      </x:c>
      <x:c r="D66" s="21" t="str">
        <x:v>801130</x:v>
      </x:c>
      <x:c r="E66" s="13" t="str">
        <x:v>中国:出口金额:纺织制品:当月同比</x:v>
      </x:c>
      <x:c r="F66" s="21" t="str">
        <x:v>M7071536</x:v>
      </x:c>
      <x:c r="G66" s="21" t="str">
        <x:v>需求</x:v>
      </x:c>
      <x:c r="H66" s="21" t="str">
        <x:v>同比</x:v>
      </x:c>
      <x:c r="I66" s="13" t="str">
        <x:v>出口金额(美元):纺织纱线、织物及制品:当月同比</x:v>
      </x:c>
      <x:c r="J66" s="21" t="str">
        <x:v>2120200275</x:v>
      </x:c>
      <x:c r="K66" s="13" t="str">
        <x:v>Textile Yarns,Fabrics and Articles: Exportss Value: YoY</x:v>
      </x:c>
      <x:c r="L66" s="21" t="str">
        <x:v>月</x:v>
      </x:c>
      <x:c r="M66" s="21" t="str">
        <x:v>%</x:v>
      </x:c>
      <x:c r="N66" s="21" t="str">
        <x:v>当期同比</x:v>
      </x:c>
      <x:c r="O66" s="21" t="str">
        <x:v>全国</x:v>
      </x:c>
      <x:c r="P66" s="21" t="str">
        <x:v>中国</x:v>
      </x:c>
      <x:c r="Q66" s="21" t="str">
        <x:v>海关总署</x:v>
      </x:c>
      <x:c r="R66" s="21" t="str">
        <x:v>1999-01-31</x:v>
      </x:c>
      <x:c r="S66" s="21" t="str">
        <x:v>2025-10-31</x:v>
      </x:c>
      <x:c r="T66" s="21" t="n">
        <x:v>1</x:v>
      </x:c>
      <x:c r="U66" s="13" t="str">
        <x:v>目标=broad；候选=broad</x:v>
      </x:c>
      <x:c r="V66" s="13" t="str">
        <x:v>英文名已核对：Textile Yarns,Fabrics and Articles: Exportss Value: YoY</x:v>
      </x:c>
      <x:c r="W66" s="13" t="str">
        <x:v>中文核心统计对象未见明显冲突；仍需数值对账</x:v>
      </x:c>
      <x:c r="X66" s="13" t="str">
        <x:v>元数据未发现关键冲突</x:v>
      </x:c>
      <x:c r="Y66" s="13" t="str">
        <x:v>无明显元数据冲突</x:v>
      </x:c>
      <x:c r="Z66" s="13" t="str">
        <x:v>进入数值与发布日期对账</x:v>
      </x:c>
      <x:c r="AA66" s="13" t="str">
        <x:v>元数据 isUpdate 只表示更新状态；正式回测仍须检查观测级 publishDate。</x:v>
      </x:c>
      <x:c r="AB66" s="21" t="str">
        <x:v>getEcoDataIndTextileclothing</x:v>
      </x:c>
      <x:c r="AC66" s="21" t="str">
        <x:v>231</x:v>
      </x:c>
      <x:c r="AD66" s="21" t="str">
        <x:v>优先审核表</x:v>
      </x:c>
    </x:row>
    <x:row r="67" ht="48" customHeight="1">
      <x:c r="A67" s="21" t="str">
        <x:v>黄色</x:v>
      </x:c>
      <x:c r="B67" s="21" t="str">
        <x:v>近似替代</x:v>
      </x:c>
      <x:c r="C67" s="21" t="str">
        <x:v>高</x:v>
      </x:c>
      <x:c r="D67" s="21" t="str">
        <x:v>801130</x:v>
      </x:c>
      <x:c r="E67" s="13" t="str">
        <x:v>中国:商品零售额:限额以上单位:服装鞋帽针纺织品类:当月同比(1-2月合并)</x:v>
      </x:c>
      <x:c r="F67" s="21" t="str">
        <x:v>M0001456</x:v>
      </x:c>
      <x:c r="G67" s="21" t="str">
        <x:v>需求</x:v>
      </x:c>
      <x:c r="H67" s="21" t="str">
        <x:v>同比</x:v>
      </x:c>
      <x:c r="I67" s="13" t="str">
        <x:v>全国百家重点大型零售企业商品零售额:服装:当月同比</x:v>
      </x:c>
      <x:c r="J67" s="21" t="str">
        <x:v>2200000456</x:v>
      </x:c>
      <x:c r="K67" s="13" t="str">
        <x:v>Merchandise Sales of National Hundred Key Large-Scale Enterprise: Clothing: YoY</x:v>
      </x:c>
      <x:c r="L67" s="21" t="str">
        <x:v>月</x:v>
      </x:c>
      <x:c r="M67" s="21" t="str">
        <x:v>%</x:v>
      </x:c>
      <x:c r="N67" s="21" t="str">
        <x:v>当期同比</x:v>
      </x:c>
      <x:c r="O67" s="21" t="str"/>
      <x:c r="P67" s="21" t="str">
        <x:v>中国</x:v>
      </x:c>
      <x:c r="Q67" s="21" t="str">
        <x:v>中华全国商业信息中心</x:v>
      </x:c>
      <x:c r="R67" s="21" t="str">
        <x:v>2007-04-30</x:v>
      </x:c>
      <x:c r="S67" s="21" t="str">
        <x:v>2026-04-30</x:v>
      </x:c>
      <x:c r="T67" s="21" t="n">
        <x:v>1</x:v>
      </x:c>
      <x:c r="U67" s="13" t="str">
        <x:v>目标=broad；候选=broad</x:v>
      </x:c>
      <x:c r="V67" s="13" t="str">
        <x:v>名称对应</x:v>
      </x:c>
      <x:c r="W67" s="13" t="str">
        <x:v>服装零售代理，不含完整鞋帽针纺织品类</x:v>
      </x:c>
      <x:c r="X67" s="13" t="str">
        <x:v>全国百家重点大型零售企业服装销售可作高质量代理，但样本范围小于限额以上单位服装鞋帽针纺织品类。</x:v>
      </x:c>
      <x:c r="Y67" s="13" t="str">
        <x:v>黄色被下调；调查样本缩窄；品类缩窄</x:v>
      </x:c>
      <x:c r="Z67" s="13" t="str">
        <x:v>分开保存；通过因子稳定性检验后再使用</x:v>
      </x:c>
      <x:c r="AA67" s="13" t="str">
        <x:v>元数据 isUpdate 只表示更新状态；正式回测仍须检查观测级 publishDate。</x:v>
      </x:c>
      <x:c r="AB67" s="21" t="str">
        <x:v>getEcoDataIndCommercialtrade</x:v>
      </x:c>
      <x:c r="AC67" s="21" t="str">
        <x:v>232</x:v>
      </x:c>
      <x:c r="AD67" s="21" t="str">
        <x:v>完整候选表</x:v>
      </x:c>
    </x:row>
    <x:row r="68" ht="48" customHeight="1">
      <x:c r="A68" s="21" t="str">
        <x:v>黄色</x:v>
      </x:c>
      <x:c r="B68" s="21" t="str">
        <x:v>近似替代</x:v>
      </x:c>
      <x:c r="C68" s="21" t="str">
        <x:v>高</x:v>
      </x:c>
      <x:c r="D68" s="21" t="str">
        <x:v>801140</x:v>
      </x:c>
      <x:c r="E68" s="13" t="str">
        <x:v>中国:出口金额:家具及其零件:当月值</x:v>
      </x:c>
      <x:c r="F68" s="21" t="str">
        <x:v>S0071022</x:v>
      </x:c>
      <x:c r="G68" s="21" t="str">
        <x:v>需求</x:v>
      </x:c>
      <x:c r="H68" s="21" t="str">
        <x:v>当期值</x:v>
      </x:c>
      <x:c r="I68" s="13" t="str">
        <x:v>出口金额(美元):其他家具及其零件(9403):当月值</x:v>
      </x:c>
      <x:c r="J68" s="21" t="str">
        <x:v>2087008113</x:v>
      </x:c>
      <x:c r="K68" s="13" t="str">
        <x:v>Export Value (USD): Other Furniture and Its Parts(9403): Current Month Value</x:v>
      </x:c>
      <x:c r="L68" s="21" t="str">
        <x:v>月</x:v>
      </x:c>
      <x:c r="M68" s="21" t="str">
        <x:v>美元</x:v>
      </x:c>
      <x:c r="N68" s="21" t="str">
        <x:v>当期值</x:v>
      </x:c>
      <x:c r="O68" s="21" t="str">
        <x:v>中国</x:v>
      </x:c>
      <x:c r="P68" s="21" t="str">
        <x:v>中国</x:v>
      </x:c>
      <x:c r="Q68" s="21" t="str">
        <x:v>海关总署</x:v>
      </x:c>
      <x:c r="R68" s="21" t="str">
        <x:v>2015-01-31</x:v>
      </x:c>
      <x:c r="S68" s="21" t="str">
        <x:v>2026-06-30</x:v>
      </x:c>
      <x:c r="T68" s="21" t="n">
        <x:v>1</x:v>
      </x:c>
      <x:c r="U68" s="13" t="str">
        <x:v>目标=broad；候选=broad</x:v>
      </x:c>
      <x:c r="V68" s="13" t="str">
        <x:v>名称对应</x:v>
      </x:c>
      <x:c r="W68" s="13" t="str">
        <x:v>家具及零件主体一致，海关品类范围需核</x:v>
      </x:c>
      <x:c r="X68" s="13" t="str">
        <x:v>HS 9403 覆盖其他家具及零件，未包含所有家具相关 HS 子目。</x:v>
      </x:c>
      <x:c r="Y68" s="13" t="str">
        <x:v>黄色被下调；HS 范围可能缩窄</x:v>
      </x:c>
      <x:c r="Z68" s="13" t="str">
        <x:v>分开保存；通过因子稳定性检验后再使用</x:v>
      </x:c>
      <x:c r="AA68" s="13" t="str">
        <x:v>元数据 isUpdate 只表示更新状态；正式回测仍须检查观测级 publishDate。</x:v>
      </x:c>
      <x:c r="AB68" s="21" t="str">
        <x:v>getEcoDataIndMachineryequipment</x:v>
      </x:c>
      <x:c r="AC68" s="21" t="str">
        <x:v>246</x:v>
      </x:c>
      <x:c r="AD68" s="21" t="str">
        <x:v>优先审核表</x:v>
      </x:c>
    </x:row>
    <x:row r="69" ht="48" customHeight="1">
      <x:c r="A69" s="21" t="str">
        <x:v>黄色</x:v>
      </x:c>
      <x:c r="B69" s="21" t="str">
        <x:v>近似替代</x:v>
      </x:c>
      <x:c r="C69" s="21" t="str">
        <x:v>高</x:v>
      </x:c>
      <x:c r="D69" s="21" t="str">
        <x:v>801140</x:v>
      </x:c>
      <x:c r="E69" s="13" t="str">
        <x:v>中国:商品零售额:限额以上单位:体育、娱乐用品类:当月同比(1-2月合并)</x:v>
      </x:c>
      <x:c r="F69" s="21" t="str">
        <x:v>M0001459</x:v>
      </x:c>
      <x:c r="G69" s="21" t="str">
        <x:v>需求</x:v>
      </x:c>
      <x:c r="H69" s="21" t="str">
        <x:v>同比</x:v>
      </x:c>
      <x:c r="I69" s="13" t="str">
        <x:v>销售额:重点监测零售企业:体育娱乐用品:当月同比</x:v>
      </x:c>
      <x:c r="J69" s="21" t="str">
        <x:v>2200800021</x:v>
      </x:c>
      <x:c r="K69" s="13" t="str">
        <x:v>Sales: Retail Enterprises under Intensive Monitoring: Sports and Entertainment Product: Month YoY</x:v>
      </x:c>
      <x:c r="L69" s="21" t="str">
        <x:v>月</x:v>
      </x:c>
      <x:c r="M69" s="21" t="str">
        <x:v>%</x:v>
      </x:c>
      <x:c r="N69" s="21" t="str">
        <x:v>当期同比</x:v>
      </x:c>
      <x:c r="O69" s="21" t="str">
        <x:v>全国</x:v>
      </x:c>
      <x:c r="P69" s="21" t="str">
        <x:v>中国</x:v>
      </x:c>
      <x:c r="Q69" s="21" t="str">
        <x:v>商务部</x:v>
      </x:c>
      <x:c r="R69" s="21" t="str">
        <x:v>2016-03-31</x:v>
      </x:c>
      <x:c r="S69" s="21" t="str">
        <x:v>2021-02-28</x:v>
      </x:c>
      <x:c r="T69" s="21" t="n">
        <x:v>1</x:v>
      </x:c>
      <x:c r="U69" s="13" t="str">
        <x:v>目标=broad；候选=broad</x:v>
      </x:c>
      <x:c r="V69" s="13" t="str">
        <x:v>名称对应</x:v>
      </x:c>
      <x:c r="W69" s="13" t="str">
        <x:v>体育娱乐用品一致</x:v>
      </x:c>
      <x:c r="X69" s="13" t="str">
        <x:v>重点监测零售企业样本可反映体育娱乐用品需求，但不等于全部限额以上单位。</x:v>
      </x:c>
      <x:c r="Y69" s="13" t="str">
        <x:v>黄色被下调；调查样本缩窄</x:v>
      </x:c>
      <x:c r="Z69" s="13" t="str">
        <x:v>分开保存；通过因子稳定性检验后再使用</x:v>
      </x:c>
      <x:c r="AA69" s="13" t="str">
        <x:v>元数据 isUpdate 只表示更新状态；正式回测仍须检查观测级 publishDate。</x:v>
      </x:c>
      <x:c r="AB69" s="21" t="str">
        <x:v>getEcoDataIndCommercialtrade</x:v>
      </x:c>
      <x:c r="AC69" s="21" t="str">
        <x:v>247</x:v>
      </x:c>
      <x:c r="AD69" s="21" t="str">
        <x:v>完整候选表</x:v>
      </x:c>
    </x:row>
    <x:row r="70" ht="48" customHeight="1">
      <x:c r="A70" s="25" t="str">
        <x:v>蓝色</x:v>
      </x:c>
      <x:c r="B70" s="25" t="str">
        <x:v>仅补充</x:v>
      </x:c>
      <x:c r="C70" s="25" t="str">
        <x:v>中</x:v>
      </x:c>
      <x:c r="D70" s="25" t="str">
        <x:v>801200</x:v>
      </x:c>
      <x:c r="E70" s="15" t="str">
        <x:v>海南:离岛免税购物金额:当月值</x:v>
      </x:c>
      <x:c r="F70" s="25" t="str">
        <x:v>K8415957</x:v>
      </x:c>
      <x:c r="G70" s="25" t="str">
        <x:v>需求</x:v>
      </x:c>
      <x:c r="H70" s="25" t="str">
        <x:v>当期值</x:v>
      </x:c>
      <x:c r="I70" s="15" t="str">
        <x:v>海南离岛免税:购物人次</x:v>
      </x:c>
      <x:c r="J70" s="25" t="str">
        <x:v>2180708533</x:v>
      </x:c>
      <x:c r="K70" s="15" t="str">
        <x:v>Hainan Offshore Duty-Free: Number of Shoppers</x:v>
      </x:c>
      <x:c r="L70" s="25" t="str">
        <x:v>月</x:v>
      </x:c>
      <x:c r="M70" s="25" t="str">
        <x:v>万人</x:v>
      </x:c>
      <x:c r="N70" s="25" t="str">
        <x:v>当期值</x:v>
      </x:c>
      <x:c r="O70" s="25" t="str">
        <x:v>海南省</x:v>
      </x:c>
      <x:c r="P70" s="25" t="str">
        <x:v>中国</x:v>
      </x:c>
      <x:c r="Q70" s="25" t="str">
        <x:v>海口海关</x:v>
      </x:c>
      <x:c r="R70" s="25" t="str">
        <x:v>2011-04-30</x:v>
      </x:c>
      <x:c r="S70" s="25" t="str">
        <x:v>2026-06-30</x:v>
      </x:c>
      <x:c r="T70" s="25" t="n">
        <x:v>1</x:v>
      </x:c>
      <x:c r="U70" s="15" t="str">
        <x:v>目标=local；候选=local</x:v>
      </x:c>
      <x:c r="V70" s="15" t="str">
        <x:v>名称对应</x:v>
      </x:c>
      <x:c r="W70" s="15" t="str">
        <x:v>购物人次≠购物金额</x:v>
      </x:c>
      <x:c r="X70" s="15" t="str">
        <x:v>购物人次可解释客流，但购物金额还受客单价影响。</x:v>
      </x:c>
      <x:c r="Y70" s="15" t="str">
        <x:v>统计对象不同</x:v>
      </x:c>
      <x:c r="Z70" s="15" t="str">
        <x:v>作为新增解释变量，不替换原序列</x:v>
      </x:c>
      <x:c r="AA70" s="15" t="str">
        <x:v>元数据 isUpdate 只表示更新状态；正式回测仍须检查观测级 publishDate。</x:v>
      </x:c>
      <x:c r="AB70" s="25" t="str">
        <x:v>getEcoDataIndCateringtourism</x:v>
      </x:c>
      <x:c r="AC70" s="25" t="str">
        <x:v>252</x:v>
      </x:c>
      <x:c r="AD70" s="25" t="str">
        <x:v>完整候选表</x:v>
      </x:c>
    </x:row>
    <x:row r="71" ht="48" customHeight="1">
      <x:c r="A71" s="21" t="str">
        <x:v>黄色</x:v>
      </x:c>
      <x:c r="B71" s="21" t="str">
        <x:v>近似替代</x:v>
      </x:c>
      <x:c r="C71" s="21" t="str">
        <x:v>高</x:v>
      </x:c>
      <x:c r="D71" s="21" t="str">
        <x:v>801120</x:v>
      </x:c>
      <x:c r="E71" s="13" t="str">
        <x:v>中国:出厂价:茅台(53度,500ml)</x:v>
      </x:c>
      <x:c r="F71" s="21" t="str">
        <x:v>S5200008</x:v>
      </x:c>
      <x:c r="G71" s="21" t="str">
        <x:v>价格</x:v>
      </x:c>
      <x:c r="H71" s="21" t="str">
        <x:v>原始值</x:v>
      </x:c>
      <x:c r="I71" s="13" t="str">
        <x:v>经销商出厂价:白酒:21年飞天茅台(53度):500ml</x:v>
      </x:c>
      <x:c r="J71" s="21" t="str">
        <x:v>2110734936</x:v>
      </x:c>
      <x:c r="K71" s="13" t="str"/>
      <x:c r="L71" s="21" t="str">
        <x:v>日</x:v>
      </x:c>
      <x:c r="M71" s="21" t="str">
        <x:v>元/瓶</x:v>
      </x:c>
      <x:c r="N71" s="21" t="str">
        <x:v>当期值</x:v>
      </x:c>
      <x:c r="O71" s="21" t="str">
        <x:v>全国</x:v>
      </x:c>
      <x:c r="P71" s="21" t="str">
        <x:v>中国</x:v>
      </x:c>
      <x:c r="Q71" s="21" t="str">
        <x:v>Datayes!</x:v>
      </x:c>
      <x:c r="R71" s="21" t="str">
        <x:v>2021-01-23</x:v>
      </x:c>
      <x:c r="S71" s="21" t="str">
        <x:v>2026-08-06</x:v>
      </x:c>
      <x:c r="T71" s="21" t="n">
        <x:v>1</x:v>
      </x:c>
      <x:c r="U71" s="13" t="str">
        <x:v>目标=broad；候选=broad</x:v>
      </x:c>
      <x:c r="V71" s="13" t="str">
        <x:v>名称对应</x:v>
      </x:c>
      <x:c r="W71" s="13" t="str">
        <x:v>飞天茅台 53度 500ml 对应；限定 21 年</x:v>
      </x:c>
      <x:c r="X71" s="13" t="str">
        <x:v>53 度 500ml 飞天茅台规格一致，但 UQER 限定 21 年产品且标为经销商出厂价。</x:v>
      </x:c>
      <x:c r="Y71" s="13" t="str">
        <x:v>黄色被下调；年份/渠道口径更窄</x:v>
      </x:c>
      <x:c r="Z71" s="13" t="str">
        <x:v>分开保存；通过因子稳定性检验后再使用</x:v>
      </x:c>
      <x:c r="AA71" s="13" t="str">
        <x:v>元数据 isUpdate 只表示更新状态；正式回测仍须检查观测级 publishDate。</x:v>
      </x:c>
      <x:c r="AB71" s="21" t="str">
        <x:v>getEcoDataIndFoodbeverage</x:v>
      </x:c>
      <x:c r="AC71" s="21" t="str">
        <x:v>258</x:v>
      </x:c>
      <x:c r="AD71" s="21" t="str">
        <x:v>优先审核表</x:v>
      </x:c>
    </x:row>
    <x:row r="72" ht="48" customHeight="1">
      <x:c r="A72" s="21" t="str">
        <x:v>黄色</x:v>
      </x:c>
      <x:c r="B72" s="22" t="str">
        <x:v>可直接替代</x:v>
      </x:c>
      <x:c r="C72" s="21" t="str">
        <x:v>低</x:v>
      </x:c>
      <x:c r="D72" s="21" t="str">
        <x:v>801120</x:v>
      </x:c>
      <x:c r="E72" s="13" t="str">
        <x:v>中国:批发参考价:五粮液:1618</x:v>
      </x:c>
      <x:c r="F72" s="21" t="str">
        <x:v>C0182527</x:v>
      </x:c>
      <x:c r="G72" s="21" t="str">
        <x:v>价格</x:v>
      </x:c>
      <x:c r="H72" s="21" t="str">
        <x:v>原始值</x:v>
      </x:c>
      <x:c r="I72" s="13" t="str">
        <x:v>五粮液:1618:批发价</x:v>
      </x:c>
      <x:c r="J72" s="21" t="str">
        <x:v>2110713182</x:v>
      </x:c>
      <x:c r="K72" s="13" t="str">
        <x:v>Wu Liang Ye: 1618: Wholesale Price</x:v>
      </x:c>
      <x:c r="L72" s="21" t="str">
        <x:v>日</x:v>
      </x:c>
      <x:c r="M72" s="21" t="str">
        <x:v>元</x:v>
      </x:c>
      <x:c r="N72" s="21" t="str">
        <x:v>当期值</x:v>
      </x:c>
      <x:c r="O72" s="21" t="str"/>
      <x:c r="P72" s="21" t="str">
        <x:v>中国</x:v>
      </x:c>
      <x:c r="Q72" s="21" t="str">
        <x:v>Datayes!</x:v>
      </x:c>
      <x:c r="R72" s="21" t="str">
        <x:v>2020-07-14</x:v>
      </x:c>
      <x:c r="S72" s="21" t="str">
        <x:v>2021-08-03</x:v>
      </x:c>
      <x:c r="T72" s="21" t="n">
        <x:v>1</x:v>
      </x:c>
      <x:c r="U72" s="13" t="str">
        <x:v>目标=broad；候选=中国（元数据 country）</x:v>
      </x:c>
      <x:c r="V72" s="13" t="str">
        <x:v>英文名已核对：Wu Liang Ye: 1618: Wholesale Price</x:v>
      </x:c>
      <x:c r="W72" s="13" t="str">
        <x:v>中文核心统计对象未见明显冲突；仍需数值对账</x:v>
      </x:c>
      <x:c r="X72" s="13" t="str">
        <x:v>元数据未发现关键冲突</x:v>
      </x:c>
      <x:c r="Y72" s="13" t="str">
        <x:v>无明显元数据冲突</x:v>
      </x:c>
      <x:c r="Z72" s="13" t="str">
        <x:v>进入数值与发布日期对账</x:v>
      </x:c>
      <x:c r="AA72" s="13" t="str">
        <x:v>元数据 isUpdate 只表示更新状态；正式回测仍须检查观测级 publishDate。</x:v>
      </x:c>
      <x:c r="AB72" s="21" t="str">
        <x:v>getEcoDataIndFoodbeverage</x:v>
      </x:c>
      <x:c r="AC72" s="21" t="str">
        <x:v>259</x:v>
      </x:c>
      <x:c r="AD72" s="21" t="str">
        <x:v>完整候选表</x:v>
      </x:c>
    </x:row>
    <x:row r="73" ht="48" customHeight="1">
      <x:c r="A73" s="23" t="str">
        <x:v>绿色</x:v>
      </x:c>
      <x:c r="B73" s="23" t="str">
        <x:v>近似替代</x:v>
      </x:c>
      <x:c r="C73" s="23" t="str">
        <x:v>中</x:v>
      </x:c>
      <x:c r="D73" s="23" t="str">
        <x:v>801120</x:v>
      </x:c>
      <x:c r="E73" s="14" t="str">
        <x:v>中国:出厂价:国窖1573:泸州老窖</x:v>
      </x:c>
      <x:c r="F73" s="23" t="str">
        <x:v>S5200010</x:v>
      </x:c>
      <x:c r="G73" s="23" t="str">
        <x:v>价格</x:v>
      </x:c>
      <x:c r="H73" s="23" t="str">
        <x:v>原始值</x:v>
      </x:c>
      <x:c r="I73" s="14" t="str">
        <x:v>批发价:泸州老窖系列:国窖1573(52%vol 500ml)</x:v>
      </x:c>
      <x:c r="J73" s="23" t="str">
        <x:v>2110718055</x:v>
      </x:c>
      <x:c r="K73" s="14" t="str">
        <x:v>Wholesale Price: Luzhou Laojiao Series: Guojiao 1573 (52%vol 500ml)</x:v>
      </x:c>
      <x:c r="L73" s="23" t="str">
        <x:v>日</x:v>
      </x:c>
      <x:c r="M73" s="23" t="str">
        <x:v>元</x:v>
      </x:c>
      <x:c r="N73" s="23" t="str">
        <x:v>当期值</x:v>
      </x:c>
      <x:c r="O73" s="23" t="str">
        <x:v>中国</x:v>
      </x:c>
      <x:c r="P73" s="23" t="str">
        <x:v>中国</x:v>
      </x:c>
      <x:c r="Q73" s="23" t="str">
        <x:v>今日酒价</x:v>
      </x:c>
      <x:c r="R73" s="23" t="str">
        <x:v>2021-02-20</x:v>
      </x:c>
      <x:c r="S73" s="23" t="str">
        <x:v>2026-08-07</x:v>
      </x:c>
      <x:c r="T73" s="23" t="n">
        <x:v>1</x:v>
      </x:c>
      <x:c r="U73" s="14" t="str">
        <x:v>目标=broad；候选=broad</x:v>
      </x:c>
      <x:c r="V73" s="14" t="str">
        <x:v>名称对应</x:v>
      </x:c>
      <x:c r="W73" s="14" t="str">
        <x:v>国窖1573 52%vol 500ml；批发价≠出厂价</x:v>
      </x:c>
      <x:c r="X73" s="14" t="str">
        <x:v>国窖1573 产品对应，但候选是 52%vol 500ml 批发价，不是出厂价。</x:v>
      </x:c>
      <x:c r="Y73" s="14" t="str">
        <x:v>价格类型冲突；规格更明确</x:v>
      </x:c>
      <x:c r="Z73" s="14" t="str">
        <x:v>分开保存；通过因子稳定性检验后再使用</x:v>
      </x:c>
      <x:c r="AA73" s="14" t="str">
        <x:v>元数据 isUpdate 只表示更新状态；正式回测仍须检查观测级 publishDate。</x:v>
      </x:c>
      <x:c r="AB73" s="23" t="str">
        <x:v>getEcoDataIndFoodbeverage</x:v>
      </x:c>
      <x:c r="AC73" s="23" t="str">
        <x:v>260</x:v>
      </x:c>
      <x:c r="AD73" s="23" t="str">
        <x:v>完整候选表</x:v>
      </x:c>
    </x:row>
    <x:row r="74" ht="48" customHeight="1">
      <x:c r="A74" s="21" t="str">
        <x:v>黄色</x:v>
      </x:c>
      <x:c r="B74" s="21" t="str">
        <x:v>近似替代</x:v>
      </x:c>
      <x:c r="C74" s="21" t="str">
        <x:v>高</x:v>
      </x:c>
      <x:c r="D74" s="21" t="str">
        <x:v>801010</x:v>
      </x:c>
      <x:c r="E74" s="13" t="str">
        <x:v>期货结算价(活跃合约):CBOT玉米</x:v>
      </x:c>
      <x:c r="F74" s="21" t="str">
        <x:v>S0180935</x:v>
      </x:c>
      <x:c r="G74" s="21" t="str">
        <x:v>价格</x:v>
      </x:c>
      <x:c r="H74" s="21" t="str">
        <x:v>原始值</x:v>
      </x:c>
      <x:c r="I74" s="13" t="str">
        <x:v>国际期货价格:CBOT:玉米</x:v>
      </x:c>
      <x:c r="J74" s="21" t="str">
        <x:v>1040001957</x:v>
      </x:c>
      <x:c r="K74" s="13" t="str">
        <x:v>International Futures Prices: Corn (CBOT)</x:v>
      </x:c>
      <x:c r="L74" s="21" t="str">
        <x:v>周</x:v>
      </x:c>
      <x:c r="M74" s="21" t="str">
        <x:v>美分/56磅</x:v>
      </x:c>
      <x:c r="N74" s="21" t="str">
        <x:v>当期值</x:v>
      </x:c>
      <x:c r="O74" s="21" t="str">
        <x:v>全国</x:v>
      </x:c>
      <x:c r="P74" s="21" t="str">
        <x:v>中国</x:v>
      </x:c>
      <x:c r="Q74" s="21" t="str">
        <x:v>商务部</x:v>
      </x:c>
      <x:c r="R74" s="21" t="str">
        <x:v>2005-04-08</x:v>
      </x:c>
      <x:c r="S74" s="21" t="str">
        <x:v>2026-07-31</x:v>
      </x:c>
      <x:c r="T74" s="21" t="n">
        <x:v>1</x:v>
      </x:c>
      <x:c r="U74" s="13" t="str">
        <x:v>目标=unknown；候选=broad</x:v>
      </x:c>
      <x:c r="V74" s="13" t="str">
        <x:v>名称对应</x:v>
      </x:c>
      <x:c r="W74" s="13" t="str">
        <x:v>CBOT 玉米一致</x:v>
      </x:c>
      <x:c r="X74" s="13" t="str">
        <x:v>均反映 CBOT 玉米期货价格，但 UQER 是商务部周频国际期货报价，未明确活跃合约构造。</x:v>
      </x:c>
      <x:c r="Y74" s="13" t="str">
        <x:v>黄色被下调；合约构造未明确；频率降低</x:v>
      </x:c>
      <x:c r="Z74" s="13" t="str">
        <x:v>分开保存；通过因子稳定性检验后再使用</x:v>
      </x:c>
      <x:c r="AA74" s="13" t="str">
        <x:v>元数据 isUpdate 只表示更新状态；正式回测仍须检查观测级 publishDate。</x:v>
      </x:c>
      <x:c r="AB74" s="21" t="str">
        <x:v>getEcoDataChina</x:v>
      </x:c>
      <x:c r="AC74" s="21" t="str">
        <x:v>267</x:v>
      </x:c>
      <x:c r="AD74" s="21" t="str">
        <x:v>完整候选表</x:v>
      </x:c>
    </x:row>
    <x:row r="75" ht="48" customHeight="1">
      <x:c r="A75" s="21" t="str">
        <x:v>黄色</x:v>
      </x:c>
      <x:c r="B75" s="21" t="str">
        <x:v>近似替代</x:v>
      </x:c>
      <x:c r="C75" s="21" t="str">
        <x:v>高</x:v>
      </x:c>
      <x:c r="D75" s="21" t="str">
        <x:v>801010</x:v>
      </x:c>
      <x:c r="E75" s="13" t="str">
        <x:v>泰国:国际现货价:大米(25%)</x:v>
      </x:c>
      <x:c r="F75" s="21" t="str">
        <x:v>S5007746</x:v>
      </x:c>
      <x:c r="G75" s="21" t="str">
        <x:v>价格</x:v>
      </x:c>
      <x:c r="H75" s="21" t="str">
        <x:v>原始值</x:v>
      </x:c>
      <x:c r="I75" s="13" t="str">
        <x:v>国际现货价格:大米(25%)</x:v>
      </x:c>
      <x:c r="J75" s="21" t="str">
        <x:v>1040001935</x:v>
      </x:c>
      <x:c r="K75" s="13" t="str">
        <x:v>International Spot Price: Rice (25%)</x:v>
      </x:c>
      <x:c r="L75" s="21" t="str">
        <x:v>周</x:v>
      </x:c>
      <x:c r="M75" s="21" t="str">
        <x:v>美元/吨</x:v>
      </x:c>
      <x:c r="N75" s="21" t="str">
        <x:v>当期值</x:v>
      </x:c>
      <x:c r="O75" s="21" t="str">
        <x:v>全国</x:v>
      </x:c>
      <x:c r="P75" s="21" t="str">
        <x:v>中国</x:v>
      </x:c>
      <x:c r="Q75" s="21" t="str">
        <x:v>商务部</x:v>
      </x:c>
      <x:c r="R75" s="21" t="str">
        <x:v>2005-04-08</x:v>
      </x:c>
      <x:c r="S75" s="21" t="str">
        <x:v>2026-07-31</x:v>
      </x:c>
      <x:c r="T75" s="21" t="n">
        <x:v>1</x:v>
      </x:c>
      <x:c r="U75" s="13" t="str">
        <x:v>目标=unknown；候选=broad</x:v>
      </x:c>
      <x:c r="V75" s="13" t="str">
        <x:v>名称对应</x:v>
      </x:c>
      <x:c r="W75" s="13" t="str">
        <x:v>大米 25% 规格一致</x:v>
      </x:c>
      <x:c r="X75" s="13" t="str">
        <x:v>25% 大米国际现货价和单位一致，但 UQER 中文名未写明泰国，需用来源说明或数值对账确认产地。</x:v>
      </x:c>
      <x:c r="Y75" s="13" t="str">
        <x:v>黄色被下调；产地未明确</x:v>
      </x:c>
      <x:c r="Z75" s="13" t="str">
        <x:v>分开保存；通过因子稳定性检验后再使用</x:v>
      </x:c>
      <x:c r="AA75" s="13" t="str">
        <x:v>元数据 isUpdate 只表示更新状态；正式回测仍须检查观测级 publishDate。</x:v>
      </x:c>
      <x:c r="AB75" s="21" t="str">
        <x:v>getEcoDataChina</x:v>
      </x:c>
      <x:c r="AC75" s="21" t="str">
        <x:v>268</x:v>
      </x:c>
      <x:c r="AD75" s="21" t="str">
        <x:v>完整候选表</x:v>
      </x:c>
    </x:row>
    <x:row r="76" ht="48" customHeight="1">
      <x:c r="A76" s="25" t="str">
        <x:v>蓝色</x:v>
      </x:c>
      <x:c r="B76" s="25" t="str">
        <x:v>仅补充</x:v>
      </x:c>
      <x:c r="C76" s="25" t="str">
        <x:v>中</x:v>
      </x:c>
      <x:c r="D76" s="25" t="str">
        <x:v>801010</x:v>
      </x:c>
      <x:c r="E76" s="15" t="str">
        <x:v>泰国:国际现货价:大米(25%)</x:v>
      </x:c>
      <x:c r="F76" s="25" t="str">
        <x:v>S5007746</x:v>
      </x:c>
      <x:c r="G76" s="25" t="str">
        <x:v>价格</x:v>
      </x:c>
      <x:c r="H76" s="25" t="str">
        <x:v>原始值</x:v>
      </x:c>
      <x:c r="I76" s="15" t="str">
        <x:v>国际现货价格:大米(25%)</x:v>
      </x:c>
      <x:c r="J76" s="25" t="str">
        <x:v>1040002101</x:v>
      </x:c>
      <x:c r="K76" s="15" t="str">
        <x:v>Average Monthly International Spot Price: Rice (25%)</x:v>
      </x:c>
      <x:c r="L76" s="25" t="str">
        <x:v>月</x:v>
      </x:c>
      <x:c r="M76" s="25" t="str">
        <x:v>美元/吨</x:v>
      </x:c>
      <x:c r="N76" s="25" t="str">
        <x:v>当期值</x:v>
      </x:c>
      <x:c r="O76" s="25" t="str">
        <x:v>全国</x:v>
      </x:c>
      <x:c r="P76" s="25" t="str">
        <x:v>中国</x:v>
      </x:c>
      <x:c r="Q76" s="25" t="str">
        <x:v>商务部</x:v>
      </x:c>
      <x:c r="R76" s="25" t="str">
        <x:v>2005-04-30</x:v>
      </x:c>
      <x:c r="S76" s="25" t="str">
        <x:v>2026-07-31</x:v>
      </x:c>
      <x:c r="T76" s="25" t="n">
        <x:v>1</x:v>
      </x:c>
      <x:c r="U76" s="15" t="str">
        <x:v>目标=unknown；候选=broad</x:v>
      </x:c>
      <x:c r="V76" s="15" t="str">
        <x:v>名称对应</x:v>
      </x:c>
      <x:c r="W76" s="15" t="str">
        <x:v>大米 25% 规格一致</x:v>
      </x:c>
      <x:c r="X76" s="15" t="str">
        <x:v>同为 25% 大米国际现货价，但月频平均值不能替代更高频原始报价，且产地未明确。</x:v>
      </x:c>
      <x:c r="Y76" s="15" t="str">
        <x:v>频率降低；产地未明确</x:v>
      </x:c>
      <x:c r="Z76" s="15" t="str">
        <x:v>作为新增解释变量，不替换原序列</x:v>
      </x:c>
      <x:c r="AA76" s="15" t="str">
        <x:v>元数据 isUpdate 只表示更新状态；正式回测仍须检查观测级 publishDate。</x:v>
      </x:c>
      <x:c r="AB76" s="25" t="str">
        <x:v>getEcoDataChina</x:v>
      </x:c>
      <x:c r="AC76" s="25" t="str">
        <x:v>268</x:v>
      </x:c>
      <x:c r="AD76" s="25" t="str">
        <x:v>优先审核表</x:v>
      </x:c>
    </x:row>
    <x:row r="77" ht="48" customHeight="1">
      <x:c r="A77" s="21" t="str">
        <x:v>黄色</x:v>
      </x:c>
      <x:c r="B77" s="22" t="str">
        <x:v>可直接替代</x:v>
      </x:c>
      <x:c r="C77" s="21" t="str">
        <x:v>低</x:v>
      </x:c>
      <x:c r="D77" s="21" t="str">
        <x:v>801010</x:v>
      </x:c>
      <x:c r="E77" s="13" t="str">
        <x:v>中国:存栏数:生猪:同比</x:v>
      </x:c>
      <x:c r="F77" s="21" t="str">
        <x:v>S0109325</x:v>
      </x:c>
      <x:c r="G77" s="21" t="str">
        <x:v>库存</x:v>
      </x:c>
      <x:c r="H77" s="21" t="str">
        <x:v>同比</x:v>
      </x:c>
      <x:c r="I77" s="13" t="str">
        <x:v>全国:生猪存栏:同比</x:v>
      </x:c>
      <x:c r="J77" s="21" t="str">
        <x:v>2010101473</x:v>
      </x:c>
      <x:c r="K77" s="13" t="str">
        <x:v>National: Live Pigs: YoY</x:v>
      </x:c>
      <x:c r="L77" s="21" t="str">
        <x:v>月</x:v>
      </x:c>
      <x:c r="M77" s="21" t="str">
        <x:v>%</x:v>
      </x:c>
      <x:c r="N77" s="21" t="str">
        <x:v>当期同比</x:v>
      </x:c>
      <x:c r="O77" s="21" t="str"/>
      <x:c r="P77" s="21" t="str">
        <x:v>中国</x:v>
      </x:c>
      <x:c r="Q77" s="21" t="str">
        <x:v>中国农业农村部</x:v>
      </x:c>
      <x:c r="R77" s="21" t="str">
        <x:v>2009-12-31</x:v>
      </x:c>
      <x:c r="S77" s="21" t="str">
        <x:v>2026-06-30</x:v>
      </x:c>
      <x:c r="T77" s="21" t="n">
        <x:v>1</x:v>
      </x:c>
      <x:c r="U77" s="13" t="str">
        <x:v>目标=broad；候选=broad</x:v>
      </x:c>
      <x:c r="V77" s="13" t="str">
        <x:v>英文名已核对：National: Live Pigs: YoY</x:v>
      </x:c>
      <x:c r="W77" s="13" t="str">
        <x:v>中文核心统计对象未见明显冲突；仍需数值对账</x:v>
      </x:c>
      <x:c r="X77" s="13" t="str">
        <x:v>元数据未发现关键冲突</x:v>
      </x:c>
      <x:c r="Y77" s="13" t="str">
        <x:v>无明显元数据冲突</x:v>
      </x:c>
      <x:c r="Z77" s="13" t="str">
        <x:v>进入数值与发布日期对账</x:v>
      </x:c>
      <x:c r="AA77" s="13" t="str">
        <x:v>元数据 isUpdate 只表示更新状态；正式回测仍须检查观测级 publishDate。</x:v>
      </x:c>
      <x:c r="AB77" s="21" t="str">
        <x:v>getEcoDataIndAgricultural</x:v>
      </x:c>
      <x:c r="AC77" s="21" t="str">
        <x:v>270</x:v>
      </x:c>
      <x:c r="AD77" s="21" t="str">
        <x:v>完整候选表</x:v>
      </x:c>
    </x:row>
    <x:row r="78" ht="48" customHeight="1">
      <x:c r="A78" s="23" t="str">
        <x:v>绿色</x:v>
      </x:c>
      <x:c r="B78" s="23" t="str">
        <x:v>仅补充</x:v>
      </x:c>
      <x:c r="C78" s="23" t="str">
        <x:v>中</x:v>
      </x:c>
      <x:c r="D78" s="23" t="str">
        <x:v>801010</x:v>
      </x:c>
      <x:c r="E78" s="14" t="str">
        <x:v>期货结算价(活跃合约):黄玉米/期货结算价(1月交割连续):玉米</x:v>
      </x:c>
      <x:c r="F78" s="23" t="str">
        <x:v>S0181377</x:v>
      </x:c>
      <x:c r="G78" s="23" t="str">
        <x:v>价格</x:v>
      </x:c>
      <x:c r="H78" s="23" t="str">
        <x:v>原始值</x:v>
      </x:c>
      <x:c r="I78" s="14" t="str">
        <x:v>结算价:大商所:玉米期货价格指数</x:v>
      </x:c>
      <x:c r="J78" s="23" t="str">
        <x:v>2010723633</x:v>
      </x:c>
      <x:c r="K78" s="14" t="str">
        <x:v>Settlement Price: Dalian Commodity Exchange: Corn Futures Price Index</x:v>
      </x:c>
      <x:c r="L78" s="23" t="str">
        <x:v>日</x:v>
      </x:c>
      <x:c r="M78" s="23" t="str">
        <x:v>点</x:v>
      </x:c>
      <x:c r="N78" s="23" t="str">
        <x:v>当期值</x:v>
      </x:c>
      <x:c r="O78" s="23" t="str">
        <x:v>全国</x:v>
      </x:c>
      <x:c r="P78" s="23" t="str">
        <x:v>中国</x:v>
      </x:c>
      <x:c r="Q78" s="23" t="str">
        <x:v>大连商品交易所</x:v>
      </x:c>
      <x:c r="R78" s="23" t="str">
        <x:v>2013-01-04</x:v>
      </x:c>
      <x:c r="S78" s="23" t="str">
        <x:v>2026-08-07</x:v>
      </x:c>
      <x:c r="T78" s="23" t="n">
        <x:v>1</x:v>
      </x:c>
      <x:c r="U78" s="14" t="str">
        <x:v>目标=unknown；候选=broad</x:v>
      </x:c>
      <x:c r="V78" s="14" t="str">
        <x:v>名称对应</x:v>
      </x:c>
      <x:c r="W78" s="14" t="str">
        <x:v>玉米期货相关代理</x:v>
      </x:c>
      <x:c r="X78" s="14" t="str">
        <x:v>大商所玉米期货价格指数与活跃/指定交割月结算价相关，但合约构造不同。</x:v>
      </x:c>
      <x:c r="Y78" s="14" t="str">
        <x:v>合约构造不同</x:v>
      </x:c>
      <x:c r="Z78" s="14" t="str">
        <x:v>作为新增解释变量，不替换原序列</x:v>
      </x:c>
      <x:c r="AA78" s="14" t="str">
        <x:v>元数据 isUpdate 只表示更新状态；正式回测仍须检查观测级 publishDate。</x:v>
      </x:c>
      <x:c r="AB78" s="23" t="str">
        <x:v>getEcoDataIndAgricultural</x:v>
      </x:c>
      <x:c r="AC78" s="23" t="str">
        <x:v>271</x:v>
      </x:c>
      <x:c r="AD78" s="23" t="str">
        <x:v>完整候选表</x:v>
      </x:c>
    </x:row>
    <x:row r="79" ht="48" customHeight="1">
      <x:c r="A79" s="21" t="str">
        <x:v>黄色</x:v>
      </x:c>
      <x:c r="B79" s="21" t="str">
        <x:v>近似替代</x:v>
      </x:c>
      <x:c r="C79" s="21" t="str">
        <x:v>高</x:v>
      </x:c>
      <x:c r="D79" s="21" t="str">
        <x:v>801010</x:v>
      </x:c>
      <x:c r="E79" s="13" t="str">
        <x:v>期货结算价(活跃合约):CBOT大豆</x:v>
      </x:c>
      <x:c r="F79" s="21" t="str">
        <x:v>S0180962</x:v>
      </x:c>
      <x:c r="G79" s="21" t="str">
        <x:v>价格</x:v>
      </x:c>
      <x:c r="H79" s="21" t="str">
        <x:v>原始值</x:v>
      </x:c>
      <x:c r="I79" s="13" t="str">
        <x:v>国际期货价格:CBOT:大豆</x:v>
      </x:c>
      <x:c r="J79" s="21" t="str">
        <x:v>1040001958</x:v>
      </x:c>
      <x:c r="K79" s="13" t="str">
        <x:v>International Futures Prices: Soybean (CBOT)</x:v>
      </x:c>
      <x:c r="L79" s="21" t="str">
        <x:v>周</x:v>
      </x:c>
      <x:c r="M79" s="21" t="str">
        <x:v>美分/60磅</x:v>
      </x:c>
      <x:c r="N79" s="21" t="str">
        <x:v>当期值</x:v>
      </x:c>
      <x:c r="O79" s="21" t="str">
        <x:v>全国</x:v>
      </x:c>
      <x:c r="P79" s="21" t="str">
        <x:v>中国</x:v>
      </x:c>
      <x:c r="Q79" s="21" t="str">
        <x:v>商务部</x:v>
      </x:c>
      <x:c r="R79" s="21" t="str">
        <x:v>2005-04-08</x:v>
      </x:c>
      <x:c r="S79" s="21" t="str">
        <x:v>2026-07-31</x:v>
      </x:c>
      <x:c r="T79" s="21" t="n">
        <x:v>1</x:v>
      </x:c>
      <x:c r="U79" s="13" t="str">
        <x:v>目标=unknown；候选=broad</x:v>
      </x:c>
      <x:c r="V79" s="13" t="str">
        <x:v>名称对应</x:v>
      </x:c>
      <x:c r="W79" s="13" t="str">
        <x:v>CBOT 大豆一致</x:v>
      </x:c>
      <x:c r="X79" s="13" t="str">
        <x:v>均反映 CBOT 大豆期货价格，但 UQER 是商务部周频报价，未明确活跃合约构造。</x:v>
      </x:c>
      <x:c r="Y79" s="13" t="str">
        <x:v>黄色被下调；合约构造未明确；频率降低</x:v>
      </x:c>
      <x:c r="Z79" s="13" t="str">
        <x:v>分开保存；通过因子稳定性检验后再使用</x:v>
      </x:c>
      <x:c r="AA79" s="13" t="str">
        <x:v>元数据 isUpdate 只表示更新状态；正式回测仍须检查观测级 publishDate。</x:v>
      </x:c>
      <x:c r="AB79" s="21" t="str">
        <x:v>getEcoDataChina</x:v>
      </x:c>
      <x:c r="AC79" s="21" t="str">
        <x:v>273</x:v>
      </x:c>
      <x:c r="AD79" s="21" t="str">
        <x:v>完整候选表</x:v>
      </x:c>
    </x:row>
    <x:row r="80" ht="48" customHeight="1">
      <x:c r="A80" s="21" t="str">
        <x:v>黄色</x:v>
      </x:c>
      <x:c r="B80" s="22" t="str">
        <x:v>可直接替代</x:v>
      </x:c>
      <x:c r="C80" s="21" t="str">
        <x:v>低</x:v>
      </x:c>
      <x:c r="D80" s="21" t="str">
        <x:v>801010</x:v>
      </x:c>
      <x:c r="E80" s="13" t="str">
        <x:v>中国:存栏数:能繁母猪</x:v>
      </x:c>
      <x:c r="F80" s="21" t="str">
        <x:v>S0114187</x:v>
      </x:c>
      <x:c r="G80" s="21" t="str">
        <x:v>库存</x:v>
      </x:c>
      <x:c r="H80" s="21" t="str">
        <x:v>当期值</x:v>
      </x:c>
      <x:c r="I80" s="13" t="str">
        <x:v>全国:能繁母猪存栏</x:v>
      </x:c>
      <x:c r="J80" s="21" t="str">
        <x:v>2010101474</x:v>
      </x:c>
      <x:c r="K80" s="13" t="str">
        <x:v>National: Breeding Sow Herd</x:v>
      </x:c>
      <x:c r="L80" s="21" t="str">
        <x:v>月</x:v>
      </x:c>
      <x:c r="M80" s="21" t="str">
        <x:v>万头</x:v>
      </x:c>
      <x:c r="N80" s="21" t="str">
        <x:v>期末值</x:v>
      </x:c>
      <x:c r="O80" s="21" t="str"/>
      <x:c r="P80" s="21" t="str">
        <x:v>中国</x:v>
      </x:c>
      <x:c r="Q80" s="21" t="str">
        <x:v>中国种猪信息网</x:v>
      </x:c>
      <x:c r="R80" s="21" t="str">
        <x:v>2009-01-31</x:v>
      </x:c>
      <x:c r="S80" s="21" t="str">
        <x:v>2026-06-30</x:v>
      </x:c>
      <x:c r="T80" s="21" t="n">
        <x:v>1</x:v>
      </x:c>
      <x:c r="U80" s="13" t="str">
        <x:v>目标=broad；候选=broad</x:v>
      </x:c>
      <x:c r="V80" s="13" t="str">
        <x:v>英文名已核对：National: Breeding Sow Herd</x:v>
      </x:c>
      <x:c r="W80" s="13" t="str">
        <x:v>中文核心统计对象未见明显冲突；仍需数值对账</x:v>
      </x:c>
      <x:c r="X80" s="13" t="str">
        <x:v>元数据未发现关键冲突</x:v>
      </x:c>
      <x:c r="Y80" s="13" t="str">
        <x:v>无明显元数据冲突</x:v>
      </x:c>
      <x:c r="Z80" s="13" t="str">
        <x:v>进入数值与发布日期对账</x:v>
      </x:c>
      <x:c r="AA80" s="13" t="str">
        <x:v>元数据 isUpdate 只表示更新状态；正式回测仍须检查观测级 publishDate。</x:v>
      </x:c>
      <x:c r="AB80" s="21" t="str">
        <x:v>getEcoDataIndAgricultural</x:v>
      </x:c>
      <x:c r="AC80" s="21" t="str">
        <x:v>275</x:v>
      </x:c>
      <x:c r="AD80" s="21" t="str">
        <x:v>完整候选表</x:v>
      </x:c>
    </x:row>
    <x:row r="81" ht="48" customHeight="1">
      <x:c r="A81" s="21" t="str">
        <x:v>黄色</x:v>
      </x:c>
      <x:c r="B81" s="22" t="str">
        <x:v>可直接替代</x:v>
      </x:c>
      <x:c r="C81" s="21" t="str">
        <x:v>低</x:v>
      </x:c>
      <x:c r="D81" s="21" t="str">
        <x:v>801010</x:v>
      </x:c>
      <x:c r="E81" s="13" t="str">
        <x:v>中国:预期盈利:肉鸡养殖</x:v>
      </x:c>
      <x:c r="F81" s="21" t="str">
        <x:v>S5065118</x:v>
      </x:c>
      <x:c r="G81" s="21" t="str">
        <x:v>盈利</x:v>
      </x:c>
      <x:c r="H81" s="21" t="str">
        <x:v>当期值</x:v>
      </x:c>
      <x:c r="I81" s="13" t="str">
        <x:v>预期盈利:肉鸡(活鸡)</x:v>
      </x:c>
      <x:c r="J81" s="21" t="str">
        <x:v>2010004191</x:v>
      </x:c>
      <x:c r="K81" s="13" t="str">
        <x:v>Broilers (Live Chickens): Expected Profit</x:v>
      </x:c>
      <x:c r="L81" s="21" t="str">
        <x:v>周</x:v>
      </x:c>
      <x:c r="M81" s="21" t="str">
        <x:v>元/只</x:v>
      </x:c>
      <x:c r="N81" s="21" t="str">
        <x:v>当期值</x:v>
      </x:c>
      <x:c r="O81" s="21" t="str">
        <x:v>全国</x:v>
      </x:c>
      <x:c r="P81" s="21" t="str">
        <x:v>中国</x:v>
      </x:c>
      <x:c r="Q81" s="21" t="str">
        <x:v>发改委</x:v>
      </x:c>
      <x:c r="R81" s="21" t="str">
        <x:v>2016-01-13</x:v>
      </x:c>
      <x:c r="S81" s="21" t="str">
        <x:v>2026-06-24</x:v>
      </x:c>
      <x:c r="T81" s="21" t="n">
        <x:v>1</x:v>
      </x:c>
      <x:c r="U81" s="13" t="str">
        <x:v>目标=broad；候选=broad</x:v>
      </x:c>
      <x:c r="V81" s="13" t="str">
        <x:v>英文名已核对：Broilers (Live Chickens): Expected Profit</x:v>
      </x:c>
      <x:c r="W81" s="13" t="str">
        <x:v>中文核心统计对象未见明显冲突；仍需数值对账</x:v>
      </x:c>
      <x:c r="X81" s="13" t="str">
        <x:v>元数据未发现关键冲突</x:v>
      </x:c>
      <x:c r="Y81" s="13" t="str">
        <x:v>无明显元数据冲突</x:v>
      </x:c>
      <x:c r="Z81" s="13" t="str">
        <x:v>进入数值与发布日期对账</x:v>
      </x:c>
      <x:c r="AA81" s="13" t="str">
        <x:v>元数据 isUpdate 只表示更新状态；正式回测仍须检查观测级 publishDate。</x:v>
      </x:c>
      <x:c r="AB81" s="21" t="str">
        <x:v>getEcoDataIndAgricultural</x:v>
      </x:c>
      <x:c r="AC81" s="21" t="str">
        <x:v>279</x:v>
      </x:c>
      <x:c r="AD81" s="21" t="str">
        <x:v>完整候选表</x:v>
      </x:c>
    </x:row>
    <x:row r="82" ht="48" customHeight="1">
      <x:c r="A82" s="23" t="str">
        <x:v>绿色</x:v>
      </x:c>
      <x:c r="B82" s="23" t="str">
        <x:v>近似替代</x:v>
      </x:c>
      <x:c r="C82" s="23" t="str">
        <x:v>中</x:v>
      </x:c>
      <x:c r="D82" s="23" t="str">
        <x:v>801150</x:v>
      </x:c>
      <x:c r="E82" s="14" t="str">
        <x:v>中国:参考价:维生素E</x:v>
      </x:c>
      <x:c r="F82" s="23" t="str">
        <x:v>S9974731</x:v>
      </x:c>
      <x:c r="G82" s="23" t="str">
        <x:v>价格</x:v>
      </x:c>
      <x:c r="H82" s="23" t="str">
        <x:v>原始值</x:v>
      </x:c>
      <x:c r="I82" s="14" t="str">
        <x:v>单价:维生素E:国产</x:v>
      </x:c>
      <x:c r="J82" s="23" t="str">
        <x:v>2140000058</x:v>
      </x:c>
      <x:c r="K82" s="14" t="str">
        <x:v>Unit Price: Vitamin E: Domestic</x:v>
      </x:c>
      <x:c r="L82" s="23" t="str">
        <x:v>日</x:v>
      </x:c>
      <x:c r="M82" s="23" t="str">
        <x:v>元/千克</x:v>
      </x:c>
      <x:c r="N82" s="23" t="str">
        <x:v>当期值</x:v>
      </x:c>
      <x:c r="O82" s="23" t="str"/>
      <x:c r="P82" s="23" t="str">
        <x:v>中国</x:v>
      </x:c>
      <x:c r="Q82" s="23" t="str">
        <x:v>中国饲料工业协会</x:v>
      </x:c>
      <x:c r="R82" s="23" t="str">
        <x:v>2012-03-16</x:v>
      </x:c>
      <x:c r="S82" s="23" t="str">
        <x:v>2026-08-05</x:v>
      </x:c>
      <x:c r="T82" s="23" t="n">
        <x:v>1</x:v>
      </x:c>
      <x:c r="U82" s="14" t="str">
        <x:v>目标=broad；候选=中国（元数据 country）</x:v>
      </x:c>
      <x:c r="V82" s="14" t="str">
        <x:v>维生素E=Vitamin E，对应正确</x:v>
      </x:c>
      <x:c r="W82" s="14" t="str">
        <x:v>国产维生素E；浓度/剂型未知</x:v>
      </x:c>
      <x:c r="X82" s="14" t="str">
        <x:v>维生素 E 国产单价与参考价方向一致，但未注明浓度、剂型和报价市场。</x:v>
      </x:c>
      <x:c r="Y82" s="14" t="str">
        <x:v>规格未明确</x:v>
      </x:c>
      <x:c r="Z82" s="14" t="str">
        <x:v>分开保存；通过因子稳定性检验后再使用</x:v>
      </x:c>
      <x:c r="AA82" s="14" t="str">
        <x:v>元数据 isUpdate 只表示更新状态；正式回测仍须检查观测级 publishDate。</x:v>
      </x:c>
      <x:c r="AB82" s="23" t="str">
        <x:v>getEcoDataIndBiologicalmedicine</x:v>
      </x:c>
      <x:c r="AC82" s="23" t="str">
        <x:v>281</x:v>
      </x:c>
      <x:c r="AD82" s="23" t="str">
        <x:v>完整候选表</x:v>
      </x:c>
    </x:row>
    <x:row r="83" ht="48" customHeight="1">
      <x:c r="A83" s="23" t="str">
        <x:v>绿色</x:v>
      </x:c>
      <x:c r="B83" s="23" t="str">
        <x:v>近似替代</x:v>
      </x:c>
      <x:c r="C83" s="23" t="str">
        <x:v>中</x:v>
      </x:c>
      <x:c r="D83" s="23" t="str">
        <x:v>801150</x:v>
      </x:c>
      <x:c r="E83" s="14" t="str">
        <x:v>中国:市场报价:维生素E(50%,国产)</x:v>
      </x:c>
      <x:c r="F83" s="23" t="str">
        <x:v>S0106875</x:v>
      </x:c>
      <x:c r="G83" s="23" t="str">
        <x:v>价格</x:v>
      </x:c>
      <x:c r="H83" s="23" t="str">
        <x:v>原始值</x:v>
      </x:c>
      <x:c r="I83" s="14" t="str">
        <x:v>单价:维生素E:国产</x:v>
      </x:c>
      <x:c r="J83" s="23" t="str">
        <x:v>2140000058</x:v>
      </x:c>
      <x:c r="K83" s="14" t="str">
        <x:v>Unit Price: Vitamin E: Domestic</x:v>
      </x:c>
      <x:c r="L83" s="23" t="str">
        <x:v>日</x:v>
      </x:c>
      <x:c r="M83" s="23" t="str">
        <x:v>元/千克</x:v>
      </x:c>
      <x:c r="N83" s="23" t="str">
        <x:v>当期值</x:v>
      </x:c>
      <x:c r="O83" s="23" t="str"/>
      <x:c r="P83" s="23" t="str">
        <x:v>中国</x:v>
      </x:c>
      <x:c r="Q83" s="23" t="str">
        <x:v>中国饲料工业协会</x:v>
      </x:c>
      <x:c r="R83" s="23" t="str">
        <x:v>2012-03-16</x:v>
      </x:c>
      <x:c r="S83" s="23" t="str">
        <x:v>2026-08-05</x:v>
      </x:c>
      <x:c r="T83" s="23" t="n">
        <x:v>1</x:v>
      </x:c>
      <x:c r="U83" s="14" t="str">
        <x:v>目标=broad；候选=中国（元数据 country）</x:v>
      </x:c>
      <x:c r="V83" s="14" t="str">
        <x:v>维生素E=Vitamin E，对应正确</x:v>
      </x:c>
      <x:c r="W83" s="14" t="str">
        <x:v>目标 50%；候选浓度未知</x:v>
      </x:c>
      <x:c r="X83" s="14" t="str">
        <x:v>同为国产维生素 E，但 UQER 未注明 50% 含量，不能确认完全同规格。</x:v>
      </x:c>
      <x:c r="Y83" s="14" t="str">
        <x:v>浓度规格未明确</x:v>
      </x:c>
      <x:c r="Z83" s="14" t="str">
        <x:v>分开保存；通过因子稳定性检验后再使用</x:v>
      </x:c>
      <x:c r="AA83" s="14" t="str">
        <x:v>元数据 isUpdate 只表示更新状态；正式回测仍须检查观测级 publishDate。</x:v>
      </x:c>
      <x:c r="AB83" s="23" t="str">
        <x:v>getEcoDataIndBiologicalmedicine</x:v>
      </x:c>
      <x:c r="AC83" s="23" t="str">
        <x:v>282</x:v>
      </x:c>
      <x:c r="AD83" s="23" t="str">
        <x:v>完整候选表</x:v>
      </x:c>
    </x:row>
    <x:row r="84" ht="48" customHeight="1">
      <x:c r="A84" s="21" t="str">
        <x:v>黄色</x:v>
      </x:c>
      <x:c r="B84" s="21" t="str">
        <x:v>近似替代</x:v>
      </x:c>
      <x:c r="C84" s="21" t="str">
        <x:v>高</x:v>
      </x:c>
      <x:c r="D84" s="21" t="str">
        <x:v>801150</x:v>
      </x:c>
      <x:c r="E84" s="13" t="str">
        <x:v>中国:出口金额:医药材及药品:当月值</x:v>
      </x:c>
      <x:c r="F84" s="21" t="str">
        <x:v>S0270235</x:v>
      </x:c>
      <x:c r="G84" s="21" t="str">
        <x:v>需求</x:v>
      </x:c>
      <x:c r="H84" s="21" t="str">
        <x:v>当期值</x:v>
      </x:c>
      <x:c r="I84" s="13" t="str">
        <x:v>医药品:出口金额:当月值</x:v>
      </x:c>
      <x:c r="J84" s="21" t="str">
        <x:v>2140200086</x:v>
      </x:c>
      <x:c r="K84" s="13" t="str">
        <x:v>Exports Value: Medical Products</x:v>
      </x:c>
      <x:c r="L84" s="21" t="str">
        <x:v>月</x:v>
      </x:c>
      <x:c r="M84" s="21" t="str">
        <x:v>万美元</x:v>
      </x:c>
      <x:c r="N84" s="21" t="str">
        <x:v>当期值</x:v>
      </x:c>
      <x:c r="O84" s="21" t="str"/>
      <x:c r="P84" s="21" t="str">
        <x:v>中国</x:v>
      </x:c>
      <x:c r="Q84" s="21" t="str">
        <x:v>海关总署</x:v>
      </x:c>
      <x:c r="R84" s="21" t="str">
        <x:v>1998-01-31</x:v>
      </x:c>
      <x:c r="S84" s="21" t="str">
        <x:v>2022-12-31</x:v>
      </x:c>
      <x:c r="T84" s="21" t="n">
        <x:v>1</x:v>
      </x:c>
      <x:c r="U84" s="13" t="str">
        <x:v>目标=broad；候选=中国（元数据 country）</x:v>
      </x:c>
      <x:c r="V84" s="13" t="str">
        <x:v>名称对应</x:v>
      </x:c>
      <x:c r="W84" s="13" t="str">
        <x:v>医药品与医药材及药品范围可能不完全一致</x:v>
      </x:c>
      <x:c r="X84" s="13" t="str">
        <x:v>医药品出口金额与医药材及药品高度相关，但品类边界需核对海关口径。</x:v>
      </x:c>
      <x:c r="Y84" s="13" t="str">
        <x:v>黄色被下调；品类范围待核</x:v>
      </x:c>
      <x:c r="Z84" s="13" t="str">
        <x:v>分开保存；通过因子稳定性检验后再使用</x:v>
      </x:c>
      <x:c r="AA84" s="13" t="str">
        <x:v>元数据 isUpdate 只表示更新状态；正式回测仍须检查观测级 publishDate。</x:v>
      </x:c>
      <x:c r="AB84" s="21" t="str">
        <x:v>getEcoDataIndBiologicalmedicine</x:v>
      </x:c>
      <x:c r="AC84" s="21" t="str">
        <x:v>284</x:v>
      </x:c>
      <x:c r="AD84" s="21" t="str">
        <x:v>完整候选表</x:v>
      </x:c>
    </x:row>
    <x:row r="85" ht="48" customHeight="1">
      <x:c r="A85" s="21" t="str">
        <x:v>黄色</x:v>
      </x:c>
      <x:c r="B85" s="21" t="str">
        <x:v>近似替代</x:v>
      </x:c>
      <x:c r="C85" s="21" t="str">
        <x:v>高</x:v>
      </x:c>
      <x:c r="D85" s="21" t="str">
        <x:v>801150</x:v>
      </x:c>
      <x:c r="E85" s="13" t="str">
        <x:v>中国:商品零售额:限额以上单位:中西药品类:当月同比(1-2月合并)</x:v>
      </x:c>
      <x:c r="F85" s="21" t="str">
        <x:v>M0073705</x:v>
      </x:c>
      <x:c r="G85" s="21" t="str">
        <x:v>需求</x:v>
      </x:c>
      <x:c r="H85" s="21" t="str">
        <x:v>同比</x:v>
      </x:c>
      <x:c r="I85" s="13" t="str">
        <x:v>销售额:重点监测零售企业:中西药品:当月同比</x:v>
      </x:c>
      <x:c r="J85" s="21" t="str">
        <x:v>2200800024</x:v>
      </x:c>
      <x:c r="K85" s="13" t="str">
        <x:v>Sales: Retail Enterprises under Intensive Monitoring: Chinese and Western Medicine: Month YoY</x:v>
      </x:c>
      <x:c r="L85" s="21" t="str">
        <x:v>月</x:v>
      </x:c>
      <x:c r="M85" s="21" t="str">
        <x:v>%</x:v>
      </x:c>
      <x:c r="N85" s="21" t="str">
        <x:v>当期同比</x:v>
      </x:c>
      <x:c r="O85" s="21" t="str">
        <x:v>全国</x:v>
      </x:c>
      <x:c r="P85" s="21" t="str">
        <x:v>中国</x:v>
      </x:c>
      <x:c r="Q85" s="21" t="str">
        <x:v>商务部</x:v>
      </x:c>
      <x:c r="R85" s="21" t="str">
        <x:v>2016-03-31</x:v>
      </x:c>
      <x:c r="S85" s="21" t="str">
        <x:v>2021-02-28</x:v>
      </x:c>
      <x:c r="T85" s="21" t="n">
        <x:v>1</x:v>
      </x:c>
      <x:c r="U85" s="13" t="str">
        <x:v>目标=broad；候选=broad</x:v>
      </x:c>
      <x:c r="V85" s="13" t="str">
        <x:v>名称对应</x:v>
      </x:c>
      <x:c r="W85" s="13" t="str">
        <x:v>中西药品一致</x:v>
      </x:c>
      <x:c r="X85" s="13" t="str">
        <x:v>中西药品类别一致，但重点监测零售企业样本小于全部限额以上单位。</x:v>
      </x:c>
      <x:c r="Y85" s="13" t="str">
        <x:v>黄色被下调；调查样本缩窄</x:v>
      </x:c>
      <x:c r="Z85" s="13" t="str">
        <x:v>分开保存；通过因子稳定性检验后再使用</x:v>
      </x:c>
      <x:c r="AA85" s="13" t="str">
        <x:v>元数据 isUpdate 只表示更新状态；正式回测仍须检查观测级 publishDate。</x:v>
      </x:c>
      <x:c r="AB85" s="21" t="str">
        <x:v>getEcoDataIndCommercialtrade</x:v>
      </x:c>
      <x:c r="AC85" s="21" t="str">
        <x:v>285</x:v>
      </x:c>
      <x:c r="AD85" s="21" t="str">
        <x:v>完整候选表</x:v>
      </x:c>
    </x:row>
    <x:row r="86" ht="48" customHeight="1">
      <x:c r="A86" s="21" t="str">
        <x:v>黄色</x:v>
      </x:c>
      <x:c r="B86" s="22" t="str">
        <x:v>可直接替代</x:v>
      </x:c>
      <x:c r="C86" s="21" t="str">
        <x:v>低</x:v>
      </x:c>
      <x:c r="D86" s="21" t="str">
        <x:v>801150</x:v>
      </x:c>
      <x:c r="E86" s="13" t="str">
        <x:v>中药材价格指数:综合200</x:v>
      </x:c>
      <x:c r="F86" s="21" t="str">
        <x:v>S6273295</x:v>
      </x:c>
      <x:c r="G86" s="21" t="str">
        <x:v>价格</x:v>
      </x:c>
      <x:c r="H86" s="21" t="str">
        <x:v>指数</x:v>
      </x:c>
      <x:c r="I86" s="13" t="str">
        <x:v>市场价格指数:中药材:综合200</x:v>
      </x:c>
      <x:c r="J86" s="21" t="str">
        <x:v>2140000561</x:v>
      </x:c>
      <x:c r="K86" s="13" t="str">
        <x:v>Market Price Index: Composite 200</x:v>
      </x:c>
      <x:c r="L86" s="21" t="str">
        <x:v>日</x:v>
      </x:c>
      <x:c r="M86" s="21" t="str">
        <x:v>点</x:v>
      </x:c>
      <x:c r="N86" s="21" t="str">
        <x:v>当期值</x:v>
      </x:c>
      <x:c r="O86" s="21" t="str"/>
      <x:c r="P86" s="21" t="str">
        <x:v>中国</x:v>
      </x:c>
      <x:c r="Q86" s="21" t="str">
        <x:v>中药材天地网</x:v>
      </x:c>
      <x:c r="R86" s="21" t="str">
        <x:v>2007-01-01</x:v>
      </x:c>
      <x:c r="S86" s="21" t="str">
        <x:v>2026-08-06</x:v>
      </x:c>
      <x:c r="T86" s="21" t="n">
        <x:v>1</x:v>
      </x:c>
      <x:c r="U86" s="13" t="str">
        <x:v>目标=unknown；候选=中国（元数据 country）</x:v>
      </x:c>
      <x:c r="V86" s="13" t="str">
        <x:v>英文名已核对：Market Price Index: Composite 200</x:v>
      </x:c>
      <x:c r="W86" s="13" t="str">
        <x:v>中文核心统计对象未见明显冲突；仍需数值对账</x:v>
      </x:c>
      <x:c r="X86" s="13" t="str">
        <x:v>元数据未发现关键冲突</x:v>
      </x:c>
      <x:c r="Y86" s="13" t="str">
        <x:v>无明显元数据冲突</x:v>
      </x:c>
      <x:c r="Z86" s="13" t="str">
        <x:v>进入数值与发布日期对账</x:v>
      </x:c>
      <x:c r="AA86" s="13" t="str">
        <x:v>元数据 isUpdate 只表示更新状态；正式回测仍须检查观测级 publishDate。</x:v>
      </x:c>
      <x:c r="AB86" s="21" t="str">
        <x:v>getEcoDataIndBiologicalmedicine</x:v>
      </x:c>
      <x:c r="AC86" s="21" t="str">
        <x:v>287</x:v>
      </x:c>
      <x:c r="AD86" s="21" t="str">
        <x:v>完整候选表</x:v>
      </x:c>
    </x:row>
    <x:row r="87" ht="48" customHeight="1">
      <x:c r="A87" s="21" t="str">
        <x:v>黄色</x:v>
      </x:c>
      <x:c r="B87" s="21" t="str">
        <x:v>仅补充</x:v>
      </x:c>
      <x:c r="C87" s="21" t="str">
        <x:v>高</x:v>
      </x:c>
      <x:c r="D87" s="21" t="str">
        <x:v>801150</x:v>
      </x:c>
      <x:c r="E87" s="13" t="str">
        <x:v>中药材价格指数:综合200</x:v>
      </x:c>
      <x:c r="F87" s="21" t="str">
        <x:v>S6273295</x:v>
      </x:c>
      <x:c r="G87" s="21" t="str">
        <x:v>价格</x:v>
      </x:c>
      <x:c r="H87" s="21" t="str">
        <x:v>指数</x:v>
      </x:c>
      <x:c r="I87" s="13" t="str">
        <x:v>市场价格指数:中药材:综合200</x:v>
      </x:c>
      <x:c r="J87" s="21" t="str">
        <x:v>2140000919</x:v>
      </x:c>
      <x:c r="K87" s="13" t="str">
        <x:v>Market Price Index: Composite 200</x:v>
      </x:c>
      <x:c r="L87" s="21" t="str">
        <x:v>年</x:v>
      </x:c>
      <x:c r="M87" s="21" t="str">
        <x:v>点</x:v>
      </x:c>
      <x:c r="N87" s="21" t="str">
        <x:v>当期值</x:v>
      </x:c>
      <x:c r="O87" s="21" t="str"/>
      <x:c r="P87" s="21" t="str">
        <x:v>中国</x:v>
      </x:c>
      <x:c r="Q87" s="21" t="str">
        <x:v>中药材天地网</x:v>
      </x:c>
      <x:c r="R87" s="21" t="str">
        <x:v>2007-12-31</x:v>
      </x:c>
      <x:c r="S87" s="21" t="str">
        <x:v>2023-12-31</x:v>
      </x:c>
      <x:c r="T87" s="21" t="n">
        <x:v>1</x:v>
      </x:c>
      <x:c r="U87" s="13" t="str">
        <x:v>目标=unknown；候选=中国（元数据 country）</x:v>
      </x:c>
      <x:c r="V87" s="13" t="str">
        <x:v>名称对应</x:v>
      </x:c>
      <x:c r="W87" s="13" t="str">
        <x:v>综合200指数一致</x:v>
      </x:c>
      <x:c r="X87" s="13" t="str">
        <x:v>指标定义同为中药材综合200价格指数，但年频会丢失原指数的高频变化。</x:v>
      </x:c>
      <x:c r="Y87" s="13" t="str">
        <x:v>黄色被下调；频率过低</x:v>
      </x:c>
      <x:c r="Z87" s="13" t="str">
        <x:v>作为新增解释变量，不替换原序列</x:v>
      </x:c>
      <x:c r="AA87" s="13" t="str">
        <x:v>元数据 isUpdate 只表示更新状态；正式回测仍须检查观测级 publishDate。</x:v>
      </x:c>
      <x:c r="AB87" s="21" t="str">
        <x:v>getEcoDataIndBiologicalmedicine</x:v>
      </x:c>
      <x:c r="AC87" s="21" t="str">
        <x:v>287</x:v>
      </x:c>
      <x:c r="AD87" s="21" t="str">
        <x:v>优先审核表</x:v>
      </x:c>
    </x:row>
    <x:row r="88" ht="48" customHeight="1">
      <x:c r="A88" s="21" t="str">
        <x:v>黄色</x:v>
      </x:c>
      <x:c r="B88" s="22" t="str">
        <x:v>可直接替代</x:v>
      </x:c>
      <x:c r="C88" s="21" t="str">
        <x:v>低</x:v>
      </x:c>
      <x:c r="D88" s="21" t="str">
        <x:v>801150</x:v>
      </x:c>
      <x:c r="E88" s="13" t="str">
        <x:v>中国:出口金额:人用疫苗:当月值</x:v>
      </x:c>
      <x:c r="F88" s="21" t="str">
        <x:v>M7079239</x:v>
      </x:c>
      <x:c r="G88" s="21" t="str">
        <x:v>需求</x:v>
      </x:c>
      <x:c r="H88" s="21" t="str">
        <x:v>当期值</x:v>
      </x:c>
      <x:c r="I88" s="13" t="str">
        <x:v>出口金额(美元):人用疫苗(300220):当月值</x:v>
      </x:c>
      <x:c r="J88" s="21" t="str">
        <x:v>2140906664</x:v>
      </x:c>
      <x:c r="K88" s="13" t="str">
        <x:v>Export Value (USD): Human Vaccine(300220): Current Month Value</x:v>
      </x:c>
      <x:c r="L88" s="21" t="str">
        <x:v>月</x:v>
      </x:c>
      <x:c r="M88" s="21" t="str">
        <x:v>美元</x:v>
      </x:c>
      <x:c r="N88" s="21" t="str">
        <x:v>当期值</x:v>
      </x:c>
      <x:c r="O88" s="21" t="str">
        <x:v>中国</x:v>
      </x:c>
      <x:c r="P88" s="21" t="str">
        <x:v>中国</x:v>
      </x:c>
      <x:c r="Q88" s="21" t="str">
        <x:v>海关总署</x:v>
      </x:c>
      <x:c r="R88" s="21" t="str">
        <x:v>2015-01-31</x:v>
      </x:c>
      <x:c r="S88" s="21" t="str">
        <x:v>2021-12-31</x:v>
      </x:c>
      <x:c r="T88" s="21" t="n">
        <x:v>1</x:v>
      </x:c>
      <x:c r="U88" s="13" t="str">
        <x:v>目标=broad；候选=broad</x:v>
      </x:c>
      <x:c r="V88" s="13" t="str">
        <x:v>英文名已核对：Export Value (USD): Human Vaccine(300220): Current Month Value</x:v>
      </x:c>
      <x:c r="W88" s="13" t="str">
        <x:v>中文核心统计对象未见明显冲突；仍需数值对账</x:v>
      </x:c>
      <x:c r="X88" s="13" t="str">
        <x:v>元数据未发现关键冲突</x:v>
      </x:c>
      <x:c r="Y88" s="13" t="str">
        <x:v>无明显元数据冲突</x:v>
      </x:c>
      <x:c r="Z88" s="13" t="str">
        <x:v>进入数值与发布日期对账</x:v>
      </x:c>
      <x:c r="AA88" s="13" t="str">
        <x:v>元数据 isUpdate 只表示更新状态；正式回测仍须检查观测级 publishDate。</x:v>
      </x:c>
      <x:c r="AB88" s="21" t="str">
        <x:v>getEcoDataIndBiologicalmedicine</x:v>
      </x:c>
      <x:c r="AC88" s="21" t="str">
        <x:v>288</x:v>
      </x:c>
      <x:c r="AD88" s="21" t="str">
        <x:v>优先审核表</x:v>
      </x:c>
    </x:row>
    <x:row r="89" ht="48" customHeight="1">
      <x:c r="A89" s="21" t="str">
        <x:v>黄色</x:v>
      </x:c>
      <x:c r="B89" s="22" t="str">
        <x:v>可直接替代</x:v>
      </x:c>
      <x:c r="C89" s="21" t="str">
        <x:v>低</x:v>
      </x:c>
      <x:c r="D89" s="21" t="str">
        <x:v>801080</x:v>
      </x:c>
      <x:c r="E89" s="13" t="str">
        <x:v>中国:销售额:半导体:当月同比</x:v>
      </x:c>
      <x:c r="F89" s="21" t="str">
        <x:v>S5622083</x:v>
      </x:c>
      <x:c r="G89" s="21" t="str">
        <x:v>需求</x:v>
      </x:c>
      <x:c r="H89" s="21" t="str">
        <x:v>同比</x:v>
      </x:c>
      <x:c r="I89" s="13" t="str">
        <x:v>销售金额:半导体:中国:当月同比</x:v>
      </x:c>
      <x:c r="J89" s="21" t="str">
        <x:v>2090715929</x:v>
      </x:c>
      <x:c r="K89" s="13" t="str">
        <x:v>Semiconductor: Sales: China: From This Month</x:v>
      </x:c>
      <x:c r="L89" s="21" t="str">
        <x:v>月</x:v>
      </x:c>
      <x:c r="M89" s="21" t="str">
        <x:v>%</x:v>
      </x:c>
      <x:c r="N89" s="21" t="str">
        <x:v>当期同比</x:v>
      </x:c>
      <x:c r="O89" s="21" t="str">
        <x:v>中国</x:v>
      </x:c>
      <x:c r="P89" s="21" t="str">
        <x:v>中国</x:v>
      </x:c>
      <x:c r="Q89" s="21" t="str">
        <x:v>美国半导体行业协会</x:v>
      </x:c>
      <x:c r="R89" s="21" t="str">
        <x:v>2015-03-31</x:v>
      </x:c>
      <x:c r="S89" s="21" t="str">
        <x:v>2026-06-30</x:v>
      </x:c>
      <x:c r="T89" s="21" t="n">
        <x:v>1</x:v>
      </x:c>
      <x:c r="U89" s="13" t="str">
        <x:v>目标=broad；候选=broad</x:v>
      </x:c>
      <x:c r="V89" s="13" t="str">
        <x:v>英文名已核对：Semiconductor: Sales: China: From This Month</x:v>
      </x:c>
      <x:c r="W89" s="13" t="str">
        <x:v>中文核心统计对象未见明显冲突；仍需数值对账</x:v>
      </x:c>
      <x:c r="X89" s="13" t="str">
        <x:v>元数据未发现关键冲突</x:v>
      </x:c>
      <x:c r="Y89" s="13" t="str">
        <x:v>无明显元数据冲突</x:v>
      </x:c>
      <x:c r="Z89" s="13" t="str">
        <x:v>进入数值与发布日期对账</x:v>
      </x:c>
      <x:c r="AA89" s="13" t="str">
        <x:v>元数据 isUpdate 只表示更新状态；正式回测仍须检查观测级 publishDate。</x:v>
      </x:c>
      <x:c r="AB89" s="21" t="str">
        <x:v>getEcoDataIndElectronic</x:v>
      </x:c>
      <x:c r="AC89" s="21" t="str">
        <x:v>291</x:v>
      </x:c>
      <x:c r="AD89" s="21" t="str">
        <x:v>优先审核表</x:v>
      </x:c>
    </x:row>
    <x:row r="90" ht="48" customHeight="1">
      <x:c r="A90" s="21" t="str">
        <x:v>黄色</x:v>
      </x:c>
      <x:c r="B90" s="22" t="str">
        <x:v>可直接替代</x:v>
      </x:c>
      <x:c r="C90" s="21" t="str">
        <x:v>低</x:v>
      </x:c>
      <x:c r="D90" s="21" t="str">
        <x:v>801080</x:v>
      </x:c>
      <x:c r="E90" s="13" t="str">
        <x:v>美洲:销售额:半导体:当月同比</x:v>
      </x:c>
      <x:c r="F90" s="21" t="str">
        <x:v>S5616804</x:v>
      </x:c>
      <x:c r="G90" s="21" t="str">
        <x:v>需求</x:v>
      </x:c>
      <x:c r="H90" s="21" t="str">
        <x:v>同比</x:v>
      </x:c>
      <x:c r="I90" s="13" t="str">
        <x:v>销售金额:半导体:美洲:当月同比</x:v>
      </x:c>
      <x:c r="J90" s="21" t="str">
        <x:v>2090100273</x:v>
      </x:c>
      <x:c r="K90" s="13" t="str">
        <x:v>Sales Amount: Semiconductor: America: YoY</x:v>
      </x:c>
      <x:c r="L90" s="21" t="str">
        <x:v>月</x:v>
      </x:c>
      <x:c r="M90" s="21" t="str">
        <x:v>%</x:v>
      </x:c>
      <x:c r="N90" s="21" t="str">
        <x:v>当期同比</x:v>
      </x:c>
      <x:c r="O90" s="21" t="str"/>
      <x:c r="P90" s="21" t="str">
        <x:v>美国</x:v>
      </x:c>
      <x:c r="Q90" s="21" t="str">
        <x:v>美国半导体行业协会</x:v>
      </x:c>
      <x:c r="R90" s="21" t="str">
        <x:v>1985-01-31</x:v>
      </x:c>
      <x:c r="S90" s="21" t="str">
        <x:v>2026-06-30</x:v>
      </x:c>
      <x:c r="T90" s="21" t="n">
        <x:v>1</x:v>
      </x:c>
      <x:c r="U90" s="13" t="str">
        <x:v>目标=unknown；候选=unknown</x:v>
      </x:c>
      <x:c r="V90" s="13" t="str">
        <x:v>英文名已核对：Sales Amount: Semiconductor: America: YoY</x:v>
      </x:c>
      <x:c r="W90" s="13" t="str">
        <x:v>中文核心统计对象未见明显冲突；仍需数值对账</x:v>
      </x:c>
      <x:c r="X90" s="13" t="str">
        <x:v>元数据未发现关键冲突</x:v>
      </x:c>
      <x:c r="Y90" s="13" t="str">
        <x:v>无明显元数据冲突</x:v>
      </x:c>
      <x:c r="Z90" s="13" t="str">
        <x:v>进入数值与发布日期对账</x:v>
      </x:c>
      <x:c r="AA90" s="13" t="str">
        <x:v>元数据 isUpdate 只表示更新状态；正式回测仍须检查观测级 publishDate。</x:v>
      </x:c>
      <x:c r="AB90" s="21" t="str">
        <x:v>getEcoDataIndElectronic</x:v>
      </x:c>
      <x:c r="AC90" s="21" t="str">
        <x:v>292</x:v>
      </x:c>
      <x:c r="AD90" s="21" t="str">
        <x:v>优先审核表</x:v>
      </x:c>
    </x:row>
    <x:row r="91" ht="48" customHeight="1">
      <x:c r="A91" s="21" t="str">
        <x:v>黄色</x:v>
      </x:c>
      <x:c r="B91" s="22" t="str">
        <x:v>可直接替代</x:v>
      </x:c>
      <x:c r="C91" s="21" t="str">
        <x:v>低</x:v>
      </x:c>
      <x:c r="D91" s="21" t="str">
        <x:v>801080</x:v>
      </x:c>
      <x:c r="E91" s="13" t="str">
        <x:v>日本:销售额:半导体:当月同比</x:v>
      </x:c>
      <x:c r="F91" s="21" t="str">
        <x:v>S5616806</x:v>
      </x:c>
      <x:c r="G91" s="21" t="str">
        <x:v>需求</x:v>
      </x:c>
      <x:c r="H91" s="21" t="str">
        <x:v>同比</x:v>
      </x:c>
      <x:c r="I91" s="13" t="str">
        <x:v>销售金额:半导体:日本:当月同比</x:v>
      </x:c>
      <x:c r="J91" s="21" t="str">
        <x:v>2090100275</x:v>
      </x:c>
      <x:c r="K91" s="13" t="str">
        <x:v>Sales Amount: Semiconductor: Japan: YoY</x:v>
      </x:c>
      <x:c r="L91" s="21" t="str">
        <x:v>月</x:v>
      </x:c>
      <x:c r="M91" s="21" t="str">
        <x:v>%</x:v>
      </x:c>
      <x:c r="N91" s="21" t="str">
        <x:v>当期同比</x:v>
      </x:c>
      <x:c r="O91" s="21" t="str"/>
      <x:c r="P91" s="21" t="str">
        <x:v>美国</x:v>
      </x:c>
      <x:c r="Q91" s="21" t="str">
        <x:v>美国半导体行业协会</x:v>
      </x:c>
      <x:c r="R91" s="21" t="str">
        <x:v>1985-03-31</x:v>
      </x:c>
      <x:c r="S91" s="21" t="str">
        <x:v>2026-06-30</x:v>
      </x:c>
      <x:c r="T91" s="21" t="n">
        <x:v>1</x:v>
      </x:c>
      <x:c r="U91" s="13" t="str">
        <x:v>目标=foreign；候选=foreign</x:v>
      </x:c>
      <x:c r="V91" s="13" t="str">
        <x:v>英文名已核对：Sales Amount: Semiconductor: Japan: YoY</x:v>
      </x:c>
      <x:c r="W91" s="13" t="str">
        <x:v>中文核心统计对象未见明显冲突；仍需数值对账</x:v>
      </x:c>
      <x:c r="X91" s="13" t="str">
        <x:v>元数据未发现关键冲突</x:v>
      </x:c>
      <x:c r="Y91" s="13" t="str">
        <x:v>无明显元数据冲突</x:v>
      </x:c>
      <x:c r="Z91" s="13" t="str">
        <x:v>进入数值与发布日期对账</x:v>
      </x:c>
      <x:c r="AA91" s="13" t="str">
        <x:v>元数据 isUpdate 只表示更新状态；正式回测仍须检查观测级 publishDate。</x:v>
      </x:c>
      <x:c r="AB91" s="21" t="str">
        <x:v>getEcoDataIndElectronic</x:v>
      </x:c>
      <x:c r="AC91" s="21" t="str">
        <x:v>293</x:v>
      </x:c>
      <x:c r="AD91" s="21" t="str">
        <x:v>优先审核表</x:v>
      </x:c>
    </x:row>
    <x:row r="92" ht="48" customHeight="1">
      <x:c r="A92" s="21" t="str">
        <x:v>黄色</x:v>
      </x:c>
      <x:c r="B92" s="22" t="str">
        <x:v>可直接替代</x:v>
      </x:c>
      <x:c r="C92" s="21" t="str">
        <x:v>低</x:v>
      </x:c>
      <x:c r="D92" s="21" t="str">
        <x:v>801080</x:v>
      </x:c>
      <x:c r="E92" s="13" t="str">
        <x:v>全球:销售额:半导体:当月同比</x:v>
      </x:c>
      <x:c r="F92" s="21" t="str">
        <x:v>S5616803</x:v>
      </x:c>
      <x:c r="G92" s="21" t="str">
        <x:v>需求</x:v>
      </x:c>
      <x:c r="H92" s="21" t="str">
        <x:v>同比</x:v>
      </x:c>
      <x:c r="I92" s="13" t="str">
        <x:v>销售金额:半导体:全球:当月同比</x:v>
      </x:c>
      <x:c r="J92" s="21" t="str">
        <x:v>2090100272</x:v>
      </x:c>
      <x:c r="K92" s="13" t="str">
        <x:v>Sales Amount: Semiconductor: Global: YoY</x:v>
      </x:c>
      <x:c r="L92" s="21" t="str">
        <x:v>月</x:v>
      </x:c>
      <x:c r="M92" s="21" t="str">
        <x:v>%</x:v>
      </x:c>
      <x:c r="N92" s="21" t="str">
        <x:v>当期同比</x:v>
      </x:c>
      <x:c r="O92" s="21" t="str"/>
      <x:c r="P92" s="21" t="str">
        <x:v>美国</x:v>
      </x:c>
      <x:c r="Q92" s="21" t="str">
        <x:v>美国半导体行业协会</x:v>
      </x:c>
      <x:c r="R92" s="21" t="str">
        <x:v>1985-01-31</x:v>
      </x:c>
      <x:c r="S92" s="21" t="str">
        <x:v>2026-06-30</x:v>
      </x:c>
      <x:c r="T92" s="21" t="n">
        <x:v>1</x:v>
      </x:c>
      <x:c r="U92" s="13" t="str">
        <x:v>目标=broad；候选=broad</x:v>
      </x:c>
      <x:c r="V92" s="13" t="str">
        <x:v>英文名已核对：Sales Amount: Semiconductor: Global: YoY</x:v>
      </x:c>
      <x:c r="W92" s="13" t="str">
        <x:v>中文核心统计对象未见明显冲突；仍需数值对账</x:v>
      </x:c>
      <x:c r="X92" s="13" t="str">
        <x:v>元数据未发现关键冲突</x:v>
      </x:c>
      <x:c r="Y92" s="13" t="str">
        <x:v>无明显元数据冲突</x:v>
      </x:c>
      <x:c r="Z92" s="13" t="str">
        <x:v>进入数值与发布日期对账</x:v>
      </x:c>
      <x:c r="AA92" s="13" t="str">
        <x:v>元数据 isUpdate 只表示更新状态；正式回测仍须检查观测级 publishDate。</x:v>
      </x:c>
      <x:c r="AB92" s="21" t="str">
        <x:v>getEcoDataIndElectronic</x:v>
      </x:c>
      <x:c r="AC92" s="21" t="str">
        <x:v>294</x:v>
      </x:c>
      <x:c r="AD92" s="21" t="str">
        <x:v>优先审核表</x:v>
      </x:c>
    </x:row>
    <x:row r="93" ht="48" customHeight="1">
      <x:c r="A93" s="21" t="str">
        <x:v>黄色</x:v>
      </x:c>
      <x:c r="B93" s="22" t="str">
        <x:v>可直接替代</x:v>
      </x:c>
      <x:c r="C93" s="21" t="str">
        <x:v>低</x:v>
      </x:c>
      <x:c r="D93" s="21" t="str">
        <x:v>801080</x:v>
      </x:c>
      <x:c r="E93" s="13" t="str">
        <x:v>中国:出口数量:印刷电路:当月同比</x:v>
      </x:c>
      <x:c r="F93" s="21" t="str">
        <x:v>M7071788</x:v>
      </x:c>
      <x:c r="G93" s="21" t="str">
        <x:v>需求</x:v>
      </x:c>
      <x:c r="H93" s="21" t="str">
        <x:v>同比</x:v>
      </x:c>
      <x:c r="I93" s="13" t="str">
        <x:v>印刷电路:出口数量:当月同比</x:v>
      </x:c>
      <x:c r="J93" s="21" t="str">
        <x:v>2090200482</x:v>
      </x:c>
      <x:c r="K93" s="13" t="str">
        <x:v>Printed Circuit: Exports Quantity: YoY</x:v>
      </x:c>
      <x:c r="L93" s="21" t="str">
        <x:v>月</x:v>
      </x:c>
      <x:c r="M93" s="21" t="str">
        <x:v>%</x:v>
      </x:c>
      <x:c r="N93" s="21" t="str">
        <x:v>当期同比</x:v>
      </x:c>
      <x:c r="O93" s="21" t="str"/>
      <x:c r="P93" s="21" t="str">
        <x:v>中国</x:v>
      </x:c>
      <x:c r="Q93" s="21" t="str">
        <x:v>海关总署</x:v>
      </x:c>
      <x:c r="R93" s="21" t="str">
        <x:v>2008-01-31</x:v>
      </x:c>
      <x:c r="S93" s="21" t="str">
        <x:v>2026-06-30</x:v>
      </x:c>
      <x:c r="T93" s="21" t="n">
        <x:v>1</x:v>
      </x:c>
      <x:c r="U93" s="13" t="str">
        <x:v>目标=broad；候选=中国（元数据 country）</x:v>
      </x:c>
      <x:c r="V93" s="13" t="str">
        <x:v>英文名已核对：Printed Circuit: Exports Quantity: YoY</x:v>
      </x:c>
      <x:c r="W93" s="13" t="str">
        <x:v>中文核心统计对象未见明显冲突；仍需数值对账</x:v>
      </x:c>
      <x:c r="X93" s="13" t="str">
        <x:v>元数据未发现关键冲突</x:v>
      </x:c>
      <x:c r="Y93" s="13" t="str">
        <x:v>无明显元数据冲突</x:v>
      </x:c>
      <x:c r="Z93" s="13" t="str">
        <x:v>进入数值与发布日期对账</x:v>
      </x:c>
      <x:c r="AA93" s="13" t="str">
        <x:v>元数据 isUpdate 只表示更新状态；正式回测仍须检查观测级 publishDate。</x:v>
      </x:c>
      <x:c r="AB93" s="21" t="str">
        <x:v>getEcoDataIndElectronic</x:v>
      </x:c>
      <x:c r="AC93" s="21" t="str">
        <x:v>295</x:v>
      </x:c>
      <x:c r="AD93" s="21" t="str">
        <x:v>完整候选表</x:v>
      </x:c>
    </x:row>
    <x:row r="94" ht="48" customHeight="1">
      <x:c r="A94" s="23" t="str">
        <x:v>绿色</x:v>
      </x:c>
      <x:c r="B94" s="23" t="str">
        <x:v>仅补充</x:v>
      </x:c>
      <x:c r="C94" s="23" t="str">
        <x:v>中</x:v>
      </x:c>
      <x:c r="D94" s="23" t="str">
        <x:v>801080</x:v>
      </x:c>
      <x:c r="E94" s="14" t="str">
        <x:v>中国:出口数量:印刷电路:当月同比</x:v>
      </x:c>
      <x:c r="F94" s="23" t="str">
        <x:v>M7071788</x:v>
      </x:c>
      <x:c r="G94" s="23" t="str">
        <x:v>需求</x:v>
      </x:c>
      <x:c r="H94" s="23" t="str">
        <x:v>同比</x:v>
      </x:c>
      <x:c r="I94" s="14" t="str">
        <x:v>出口数量:四层以上的印刷电路(85340010):当月同比</x:v>
      </x:c>
      <x:c r="J94" s="23" t="str">
        <x:v>2090723373</x:v>
      </x:c>
      <x:c r="K94" s="14" t="str">
        <x:v>Export Quantity: Printed Circuit With More Than Four Layers(85340010): Mom</x:v>
      </x:c>
      <x:c r="L94" s="23" t="str">
        <x:v>月</x:v>
      </x:c>
      <x:c r="M94" s="23" t="str">
        <x:v>%</x:v>
      </x:c>
      <x:c r="N94" s="23" t="str">
        <x:v>当期同比</x:v>
      </x:c>
      <x:c r="O94" s="23" t="str">
        <x:v>中国</x:v>
      </x:c>
      <x:c r="P94" s="23" t="str">
        <x:v>中国</x:v>
      </x:c>
      <x:c r="Q94" s="23" t="str">
        <x:v>海关总署</x:v>
      </x:c>
      <x:c r="R94" s="23" t="str">
        <x:v>2018-01-31</x:v>
      </x:c>
      <x:c r="S94" s="23" t="str">
        <x:v>2026-06-30</x:v>
      </x:c>
      <x:c r="T94" s="23" t="n">
        <x:v>1</x:v>
      </x:c>
      <x:c r="U94" s="14" t="str">
        <x:v>目标=broad；候选=broad</x:v>
      </x:c>
      <x:c r="V94" s="14" t="str">
        <x:v>名称对应</x:v>
      </x:c>
      <x:c r="W94" s="14" t="str">
        <x:v>四层以上 PCB⊂全部 PCB</x:v>
      </x:c>
      <x:c r="X94" s="14" t="str">
        <x:v>四层以上印刷电路是全部印刷电路出口的子项。</x:v>
      </x:c>
      <x:c r="Y94" s="14" t="str">
        <x:v>产品范围缩窄</x:v>
      </x:c>
      <x:c r="Z94" s="14" t="str">
        <x:v>作为新增解释变量，不替换原序列</x:v>
      </x:c>
      <x:c r="AA94" s="14" t="str">
        <x:v>元数据 isUpdate 只表示更新状态；正式回测仍须检查观测级 publishDate。</x:v>
      </x:c>
      <x:c r="AB94" s="23" t="str">
        <x:v>getEcoDataIndElectronic</x:v>
      </x:c>
      <x:c r="AC94" s="23" t="str">
        <x:v>295</x:v>
      </x:c>
      <x:c r="AD94" s="23" t="str">
        <x:v>优先审核表</x:v>
      </x:c>
    </x:row>
    <x:row r="95" ht="48" customHeight="1">
      <x:c r="A95" s="21" t="str">
        <x:v>黄色</x:v>
      </x:c>
      <x:c r="B95" s="22" t="str">
        <x:v>可直接替代</x:v>
      </x:c>
      <x:c r="C95" s="21" t="str">
        <x:v>低</x:v>
      </x:c>
      <x:c r="D95" s="21" t="str">
        <x:v>801080</x:v>
      </x:c>
      <x:c r="E95" s="13" t="str">
        <x:v>日本:出货额:半导体制造设备:当月同比</x:v>
      </x:c>
      <x:c r="F95" s="21" t="str">
        <x:v>S5600229</x:v>
      </x:c>
      <x:c r="G95" s="21" t="str">
        <x:v>需求</x:v>
      </x:c>
      <x:c r="H95" s="21" t="str">
        <x:v>同比</x:v>
      </x:c>
      <x:c r="I95" s="13" t="str">
        <x:v>日本:半导体制造设备:出货额:当月同比</x:v>
      </x:c>
      <x:c r="J95" s="21" t="str">
        <x:v>2090715942</x:v>
      </x:c>
      <x:c r="K95" s="13" t="str">
        <x:v>Japan: Semiconductor Manufacturing Equipment: Shipment Value: Month-on-year</x:v>
      </x:c>
      <x:c r="L95" s="21" t="str">
        <x:v>月</x:v>
      </x:c>
      <x:c r="M95" s="21" t="str">
        <x:v>%</x:v>
      </x:c>
      <x:c r="N95" s="21" t="str">
        <x:v>当期同比</x:v>
      </x:c>
      <x:c r="O95" s="21" t="str">
        <x:v>日本</x:v>
      </x:c>
      <x:c r="P95" s="21" t="str">
        <x:v>日本</x:v>
      </x:c>
      <x:c r="Q95" s="21" t="str">
        <x:v>日本半导体协会</x:v>
      </x:c>
      <x:c r="R95" s="21" t="str">
        <x:v>2005-01-31</x:v>
      </x:c>
      <x:c r="S95" s="21" t="str">
        <x:v>2026-06-30</x:v>
      </x:c>
      <x:c r="T95" s="21" t="n">
        <x:v>1</x:v>
      </x:c>
      <x:c r="U95" s="13" t="str">
        <x:v>目标=foreign；候选=foreign</x:v>
      </x:c>
      <x:c r="V95" s="13" t="str">
        <x:v>英文名已核对：Japan: Semiconductor Manufacturing Equipment: Shipment Value: Month-on-year</x:v>
      </x:c>
      <x:c r="W95" s="13" t="str">
        <x:v>中文核心统计对象未见明显冲突；仍需数值对账</x:v>
      </x:c>
      <x:c r="X95" s="13" t="str">
        <x:v>元数据未发现关键冲突</x:v>
      </x:c>
      <x:c r="Y95" s="13" t="str">
        <x:v>无明显元数据冲突</x:v>
      </x:c>
      <x:c r="Z95" s="13" t="str">
        <x:v>进入数值与发布日期对账</x:v>
      </x:c>
      <x:c r="AA95" s="13" t="str">
        <x:v>元数据 isUpdate 只表示更新状态；正式回测仍须检查观测级 publishDate。</x:v>
      </x:c>
      <x:c r="AB95" s="21" t="str">
        <x:v>getEcoDataIndElectronic</x:v>
      </x:c>
      <x:c r="AC95" s="21" t="str">
        <x:v>299</x:v>
      </x:c>
      <x:c r="AD95" s="21" t="str">
        <x:v>优先审核表</x:v>
      </x:c>
    </x:row>
    <x:row r="96" ht="48" customHeight="1">
      <x:c r="A96" s="21" t="str">
        <x:v>黄色</x:v>
      </x:c>
      <x:c r="B96" s="22" t="str">
        <x:v>可直接替代</x:v>
      </x:c>
      <x:c r="C96" s="21" t="str">
        <x:v>低</x:v>
      </x:c>
      <x:c r="D96" s="21" t="str">
        <x:v>801080</x:v>
      </x:c>
      <x:c r="E96" s="13" t="str">
        <x:v>中国:出口数量:印刷电路:当月同比</x:v>
      </x:c>
      <x:c r="F96" s="21" t="str">
        <x:v>M7071770</x:v>
      </x:c>
      <x:c r="G96" s="21" t="str">
        <x:v>需求</x:v>
      </x:c>
      <x:c r="H96" s="21" t="str">
        <x:v>同比</x:v>
      </x:c>
      <x:c r="I96" s="13" t="str">
        <x:v>印刷电路:出口数量:当月同比</x:v>
      </x:c>
      <x:c r="J96" s="21" t="str">
        <x:v>2090200482</x:v>
      </x:c>
      <x:c r="K96" s="13" t="str">
        <x:v>Printed Circuit: Exports Quantity: YoY</x:v>
      </x:c>
      <x:c r="L96" s="21" t="str">
        <x:v>月</x:v>
      </x:c>
      <x:c r="M96" s="21" t="str">
        <x:v>%</x:v>
      </x:c>
      <x:c r="N96" s="21" t="str">
        <x:v>当期同比</x:v>
      </x:c>
      <x:c r="O96" s="21" t="str"/>
      <x:c r="P96" s="21" t="str">
        <x:v>中国</x:v>
      </x:c>
      <x:c r="Q96" s="21" t="str">
        <x:v>海关总署</x:v>
      </x:c>
      <x:c r="R96" s="21" t="str">
        <x:v>2008-01-31</x:v>
      </x:c>
      <x:c r="S96" s="21" t="str">
        <x:v>2026-06-30</x:v>
      </x:c>
      <x:c r="T96" s="21" t="n">
        <x:v>1</x:v>
      </x:c>
      <x:c r="U96" s="13" t="str">
        <x:v>目标=broad；候选=中国（元数据 country）</x:v>
      </x:c>
      <x:c r="V96" s="13" t="str">
        <x:v>英文名已核对：Printed Circuit: Exports Quantity: YoY</x:v>
      </x:c>
      <x:c r="W96" s="13" t="str">
        <x:v>中文核心统计对象未见明显冲突；仍需数值对账</x:v>
      </x:c>
      <x:c r="X96" s="13" t="str">
        <x:v>元数据未发现关键冲突</x:v>
      </x:c>
      <x:c r="Y96" s="13" t="str">
        <x:v>无明显元数据冲突</x:v>
      </x:c>
      <x:c r="Z96" s="13" t="str">
        <x:v>进入数值与发布日期对账</x:v>
      </x:c>
      <x:c r="AA96" s="13" t="str">
        <x:v>元数据 isUpdate 只表示更新状态；正式回测仍须检查观测级 publishDate。</x:v>
      </x:c>
      <x:c r="AB96" s="21" t="str">
        <x:v>getEcoDataIndElectronic</x:v>
      </x:c>
      <x:c r="AC96" s="21" t="str">
        <x:v>303</x:v>
      </x:c>
      <x:c r="AD96" s="21" t="str">
        <x:v>完整候选表</x:v>
      </x:c>
    </x:row>
    <x:row r="97" ht="48" customHeight="1">
      <x:c r="A97" s="23" t="str">
        <x:v>绿色</x:v>
      </x:c>
      <x:c r="B97" s="23" t="str">
        <x:v>仅补充</x:v>
      </x:c>
      <x:c r="C97" s="23" t="str">
        <x:v>中</x:v>
      </x:c>
      <x:c r="D97" s="23" t="str">
        <x:v>801080</x:v>
      </x:c>
      <x:c r="E97" s="14" t="str">
        <x:v>中国:出口数量:印刷电路:当月同比</x:v>
      </x:c>
      <x:c r="F97" s="23" t="str">
        <x:v>M7071770</x:v>
      </x:c>
      <x:c r="G97" s="23" t="str">
        <x:v>需求</x:v>
      </x:c>
      <x:c r="H97" s="23" t="str">
        <x:v>同比</x:v>
      </x:c>
      <x:c r="I97" s="14" t="str">
        <x:v>出口数量:四层以上的印刷电路(85340010):当月同比</x:v>
      </x:c>
      <x:c r="J97" s="23" t="str">
        <x:v>2090723373</x:v>
      </x:c>
      <x:c r="K97" s="14" t="str">
        <x:v>Export Quantity: Printed Circuit With More Than Four Layers(85340010): Mom</x:v>
      </x:c>
      <x:c r="L97" s="23" t="str">
        <x:v>月</x:v>
      </x:c>
      <x:c r="M97" s="23" t="str">
        <x:v>%</x:v>
      </x:c>
      <x:c r="N97" s="23" t="str">
        <x:v>当期同比</x:v>
      </x:c>
      <x:c r="O97" s="23" t="str">
        <x:v>中国</x:v>
      </x:c>
      <x:c r="P97" s="23" t="str">
        <x:v>中国</x:v>
      </x:c>
      <x:c r="Q97" s="23" t="str">
        <x:v>海关总署</x:v>
      </x:c>
      <x:c r="R97" s="23" t="str">
        <x:v>2018-01-31</x:v>
      </x:c>
      <x:c r="S97" s="23" t="str">
        <x:v>2026-06-30</x:v>
      </x:c>
      <x:c r="T97" s="23" t="n">
        <x:v>1</x:v>
      </x:c>
      <x:c r="U97" s="14" t="str">
        <x:v>目标=broad；候选=broad</x:v>
      </x:c>
      <x:c r="V97" s="14" t="str">
        <x:v>名称对应</x:v>
      </x:c>
      <x:c r="W97" s="14" t="str">
        <x:v>四层以上 PCB⊂全部 PCB</x:v>
      </x:c>
      <x:c r="X97" s="14" t="str">
        <x:v>四层以上印刷电路是全部印刷电路出口的子项。</x:v>
      </x:c>
      <x:c r="Y97" s="14" t="str">
        <x:v>产品范围缩窄</x:v>
      </x:c>
      <x:c r="Z97" s="14" t="str">
        <x:v>作为新增解释变量，不替换原序列</x:v>
      </x:c>
      <x:c r="AA97" s="14" t="str">
        <x:v>元数据 isUpdate 只表示更新状态；正式回测仍须检查观测级 publishDate。</x:v>
      </x:c>
      <x:c r="AB97" s="23" t="str">
        <x:v>getEcoDataIndElectronic</x:v>
      </x:c>
      <x:c r="AC97" s="23" t="str">
        <x:v>303</x:v>
      </x:c>
      <x:c r="AD97" s="23" t="str">
        <x:v>优先审核表</x:v>
      </x:c>
    </x:row>
    <x:row r="98" ht="48" customHeight="1">
      <x:c r="A98" s="23" t="str">
        <x:v>绿色</x:v>
      </x:c>
      <x:c r="B98" s="24" t="str">
        <x:v>不可替代</x:v>
      </x:c>
      <x:c r="C98" s="23" t="str">
        <x:v>高</x:v>
      </x:c>
      <x:c r="D98" s="23" t="str">
        <x:v>801080</x:v>
      </x:c>
      <x:c r="E98" s="14" t="str">
        <x:v>全球:出货量:智能手机:苹果</x:v>
      </x:c>
      <x:c r="F98" s="23" t="str">
        <x:v>Y6215371</x:v>
      </x:c>
      <x:c r="G98" s="23" t="str">
        <x:v>需求</x:v>
      </x:c>
      <x:c r="H98" s="23" t="str">
        <x:v>当期值</x:v>
      </x:c>
      <x:c r="I98" s="14" t="str">
        <x:v>产量:智能手机:当月值</x:v>
      </x:c>
      <x:c r="J98" s="23" t="str">
        <x:v>2090714994</x:v>
      </x:c>
      <x:c r="K98" s="14" t="str">
        <x:v>Output: Smart Phone: Current Value (Month)</x:v>
      </x:c>
      <x:c r="L98" s="23" t="str">
        <x:v>月</x:v>
      </x:c>
      <x:c r="M98" s="23" t="str">
        <x:v>万台</x:v>
      </x:c>
      <x:c r="N98" s="23" t="str">
        <x:v>当期值</x:v>
      </x:c>
      <x:c r="O98" s="23" t="str">
        <x:v>全国</x:v>
      </x:c>
      <x:c r="P98" s="23" t="str">
        <x:v>中国</x:v>
      </x:c>
      <x:c r="Q98" s="23" t="str">
        <x:v>国家统计局</x:v>
      </x:c>
      <x:c r="R98" s="23" t="str">
        <x:v>2016-03-31</x:v>
      </x:c>
      <x:c r="S98" s="23" t="str">
        <x:v>2026-06-30</x:v>
      </x:c>
      <x:c r="T98" s="23" t="n">
        <x:v>1</x:v>
      </x:c>
      <x:c r="U98" s="14" t="str">
        <x:v>目标=broad；候选=broad</x:v>
      </x:c>
      <x:c r="V98" s="14" t="str">
        <x:v>名称对应</x:v>
      </x:c>
      <x:c r="W98" s="14" t="str">
        <x:v>苹果出货量≠全品牌智能手机产量</x:v>
      </x:c>
      <x:c r="X98" s="14" t="str">
        <x:v>目标是全球苹果智能手机出货量，候选是中国全部智能手机产量。</x:v>
      </x:c>
      <x:c r="Y98" s="14" t="str">
        <x:v>品牌冲突；地区冲突；出货/产量冲突</x:v>
      </x:c>
      <x:c r="Z98" s="14" t="str">
        <x:v>移出替代映射；查看更优候选</x:v>
      </x:c>
      <x:c r="AA98" s="14" t="str">
        <x:v>元数据 isUpdate 只表示更新状态；正式回测仍须检查观测级 publishDate。</x:v>
      </x:c>
      <x:c r="AB98" s="23" t="str">
        <x:v>getEcoDataIndElectronic</x:v>
      </x:c>
      <x:c r="AC98" s="23" t="str">
        <x:v>310</x:v>
      </x:c>
      <x:c r="AD98" s="23" t="str">
        <x:v>完整候选表</x:v>
      </x:c>
    </x:row>
    <x:row r="99" ht="48" customHeight="1">
      <x:c r="A99" s="21" t="str">
        <x:v>黄色</x:v>
      </x:c>
      <x:c r="B99" s="22" t="str">
        <x:v>可直接替代</x:v>
      </x:c>
      <x:c r="C99" s="21" t="str">
        <x:v>低</x:v>
      </x:c>
      <x:c r="D99" s="21" t="str">
        <x:v>801760</x:v>
      </x:c>
      <x:c r="E99" s="13" t="str">
        <x:v>中国:电影观影人次:当周值</x:v>
      </x:c>
      <x:c r="F99" s="21" t="str">
        <x:v>S6623763</x:v>
      </x:c>
      <x:c r="G99" s="21" t="str">
        <x:v>需求</x:v>
      </x:c>
      <x:c r="H99" s="21" t="str">
        <x:v>当期值</x:v>
      </x:c>
      <x:c r="I99" s="13" t="str">
        <x:v>全国电影票房人次:当周值</x:v>
      </x:c>
      <x:c r="J99" s="21" t="str">
        <x:v>2100001815</x:v>
      </x:c>
      <x:c r="K99" s="13" t="str">
        <x:v>National Film Visitors</x:v>
      </x:c>
      <x:c r="L99" s="21" t="str">
        <x:v>周</x:v>
      </x:c>
      <x:c r="M99" s="21" t="str">
        <x:v>万人</x:v>
      </x:c>
      <x:c r="N99" s="21" t="str">
        <x:v>当期值</x:v>
      </x:c>
      <x:c r="O99" s="21" t="str">
        <x:v>全国</x:v>
      </x:c>
      <x:c r="P99" s="21" t="str">
        <x:v>中国</x:v>
      </x:c>
      <x:c r="Q99" s="21" t="str">
        <x:v>艺恩数据</x:v>
      </x:c>
      <x:c r="R99" s="21" t="str">
        <x:v>2008-01-13</x:v>
      </x:c>
      <x:c r="S99" s="21" t="str">
        <x:v>2025-07-06</x:v>
      </x:c>
      <x:c r="T99" s="21" t="n">
        <x:v>1</x:v>
      </x:c>
      <x:c r="U99" s="13" t="str">
        <x:v>目标=broad；候选=broad</x:v>
      </x:c>
      <x:c r="V99" s="13" t="str">
        <x:v>英文名已核对：National Film Visitors</x:v>
      </x:c>
      <x:c r="W99" s="13" t="str">
        <x:v>中文核心统计对象未见明显冲突；仍需数值对账</x:v>
      </x:c>
      <x:c r="X99" s="13" t="str">
        <x:v>元数据未发现关键冲突</x:v>
      </x:c>
      <x:c r="Y99" s="13" t="str">
        <x:v>无明显元数据冲突</x:v>
      </x:c>
      <x:c r="Z99" s="13" t="str">
        <x:v>进入数值与发布日期对账</x:v>
      </x:c>
      <x:c r="AA99" s="13" t="str">
        <x:v>元数据 isUpdate 只表示更新状态；正式回测仍须检查观测级 publishDate。</x:v>
      </x:c>
      <x:c r="AB99" s="21" t="str">
        <x:v>getEcoDataIndCulture</x:v>
      </x:c>
      <x:c r="AC99" s="21" t="str">
        <x:v>321</x:v>
      </x:c>
      <x:c r="AD99" s="21" t="str">
        <x:v>优先审核表</x:v>
      </x:c>
    </x:row>
  </x:sheetData>
  <x:pageMargins left="0.7" right="0.7" top="0.75" bottom="0.75" header="0.3" footer="0.3"/>
  <x:tableParts count="1">
    <x:tablePart xmlns:r="http://schemas.openxmlformats.org/officeDocument/2006/relationships" r:id="R201f6591cc354acd"/>
  </x:tableParts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" hidden="0" customWidth="1"/>
    <x:col min="2" max="2" width="12" hidden="0" customWidth="1"/>
    <x:col min="3" max="3" width="9" hidden="0" customWidth="1"/>
    <x:col min="4" max="4" width="14" hidden="0" customWidth="1"/>
    <x:col min="5" max="5" width="44" hidden="0" customWidth="1"/>
    <x:col min="6" max="6" width="44" hidden="0" customWidth="1"/>
    <x:col min="7" max="7" width="7" hidden="0" customWidth="1"/>
    <x:col min="8" max="8" width="12" hidden="0" customWidth="1"/>
    <x:col min="9" max="9" width="12" hidden="0" customWidth="1"/>
    <x:col min="10" max="10" width="14" hidden="0" customWidth="1"/>
    <x:col min="11" max="11" width="10" hidden="0" customWidth="1"/>
    <x:col min="12" max="12" width="24" hidden="0" customWidth="1"/>
    <x:col min="13" max="13" width="24" hidden="0" customWidth="1"/>
    <x:col min="14" max="14" width="12" hidden="0" customWidth="1"/>
    <x:col min="15" max="15" width="12" hidden="0" customWidth="1"/>
    <x:col min="16" max="16" width="10" hidden="0" customWidth="1"/>
    <x:col min="17" max="17" width="12" hidden="0" customWidth="1"/>
    <x:col min="18" max="18" width="34" hidden="0" customWidth="1"/>
  </x:cols>
  <x:sheetData>
    <x:row r="1" ht="42" customHeight="1">
      <x:c r="A1" s="9" t="str">
        <x:v>行业代码</x:v>
      </x:c>
      <x:c r="B1" s="9" t="str">
        <x:v>行业名称</x:v>
      </x:c>
      <x:c r="C1" s="9" t="str">
        <x:v>行业内序号</x:v>
      </x:c>
      <x:c r="D1" s="9" t="str">
        <x:v>UQER指标ID</x:v>
      </x:c>
      <x:c r="E1" s="9" t="str">
        <x:v>UQER中文名</x:v>
      </x:c>
      <x:c r="F1" s="9" t="str">
        <x:v>UQER英文名</x:v>
      </x:c>
      <x:c r="G1" s="9" t="str">
        <x:v>频率</x:v>
      </x:c>
      <x:c r="H1" s="9" t="str">
        <x:v>单位</x:v>
      </x:c>
      <x:c r="I1" s="9" t="str">
        <x:v>统计类型</x:v>
      </x:c>
      <x:c r="J1" s="9" t="str">
        <x:v>地区</x:v>
      </x:c>
      <x:c r="K1" s="9" t="str">
        <x:v>国家</x:v>
      </x:c>
      <x:c r="L1" s="9" t="str">
        <x:v>数据来源</x:v>
      </x:c>
      <x:c r="M1" s="9" t="str">
        <x:v>UQER API</x:v>
      </x:c>
      <x:c r="N1" s="9" t="str">
        <x:v>历史开始</x:v>
      </x:c>
      <x:c r="O1" s="9" t="str">
        <x:v>历史结束</x:v>
      </x:c>
      <x:c r="P1" s="9" t="str">
        <x:v>更新状态</x:v>
      </x:c>
      <x:c r="Q1" s="9" t="str">
        <x:v>用户审批</x:v>
      </x:c>
      <x:c r="R1" s="9" t="str">
        <x:v>用户备注</x:v>
      </x:c>
    </x:row>
    <x:row r="2" ht="48" customHeight="1">
      <x:c r="A2" s="27" t="str">
        <x:v>801010</x:v>
      </x:c>
      <x:c r="B2" s="27" t="str">
        <x:v>农林牧渔</x:v>
      </x:c>
      <x:c r="C2" s="27" t="n">
        <x:v>1</x:v>
      </x:c>
      <x:c r="D2" s="27" t="str">
        <x:v>2010711979</x:v>
      </x:c>
      <x:c r="E2" s="28" t="str">
        <x:v>价格:仔猪:外三元(15kg)</x:v>
      </x:c>
      <x:c r="F2" s="28" t="str">
        <x:v>Price: Piglet: Foreign Mixed Breed (15kg)</x:v>
      </x:c>
      <x:c r="G2" s="27" t="str">
        <x:v>日</x:v>
      </x:c>
      <x:c r="H2" s="27" t="str">
        <x:v>元/公斤</x:v>
      </x:c>
      <x:c r="I2" s="27" t="str">
        <x:v>当期值</x:v>
      </x:c>
      <x:c r="J2" s="27" t="str">
        <x:v>全国</x:v>
      </x:c>
      <x:c r="K2" s="27" t="str">
        <x:v>中国</x:v>
      </x:c>
      <x:c r="L2" s="28" t="str">
        <x:v>博亚和讯</x:v>
      </x:c>
      <x:c r="M2" s="28" t="str">
        <x:v>getEcoDataIndAgricultural</x:v>
      </x:c>
      <x:c r="N2" s="27" t="str">
        <x:v>2016-09-28</x:v>
      </x:c>
      <x:c r="O2" s="27" t="str">
        <x:v>2026-08-07</x:v>
      </x:c>
      <x:c r="P2" s="27" t="str">
        <x:v>持续更新</x:v>
      </x:c>
      <x:c r="Q2" s="27" t="str"/>
      <x:c r="R2" s="28" t="str"/>
    </x:row>
    <x:row r="3" ht="48" customHeight="1">
      <x:c r="A3" s="27" t="str">
        <x:v>801010</x:v>
      </x:c>
      <x:c r="B3" s="27" t="str">
        <x:v>农林牧渔</x:v>
      </x:c>
      <x:c r="C3" s="27" t="n">
        <x:v>2</x:v>
      </x:c>
      <x:c r="D3" s="27" t="str">
        <x:v>2010712032</x:v>
      </x:c>
      <x:c r="E3" s="28" t="str">
        <x:v>价格:仔猪:外三元(20kg)</x:v>
      </x:c>
      <x:c r="F3" s="28" t="str">
        <x:v>Price: Piglet: Foreign Mixed Breed (20kg)</x:v>
      </x:c>
      <x:c r="G3" s="27" t="str">
        <x:v>日</x:v>
      </x:c>
      <x:c r="H3" s="27" t="str">
        <x:v>元/公斤</x:v>
      </x:c>
      <x:c r="I3" s="27" t="str">
        <x:v>当期值</x:v>
      </x:c>
      <x:c r="J3" s="27" t="str">
        <x:v>全国</x:v>
      </x:c>
      <x:c r="K3" s="27" t="str">
        <x:v>中国</x:v>
      </x:c>
      <x:c r="L3" s="28" t="str">
        <x:v>博亚和讯</x:v>
      </x:c>
      <x:c r="M3" s="28" t="str">
        <x:v>getEcoDataIndAgricultural</x:v>
      </x:c>
      <x:c r="N3" s="27" t="str">
        <x:v>2016-01-04</x:v>
      </x:c>
      <x:c r="O3" s="27" t="str">
        <x:v>2026-08-07</x:v>
      </x:c>
      <x:c r="P3" s="27" t="str">
        <x:v>持续更新</x:v>
      </x:c>
      <x:c r="Q3" s="27" t="str"/>
      <x:c r="R3" s="28" t="str"/>
    </x:row>
    <x:row r="4" ht="48" customHeight="1">
      <x:c r="A4" s="27" t="str">
        <x:v>801010</x:v>
      </x:c>
      <x:c r="B4" s="27" t="str">
        <x:v>农林牧渔</x:v>
      </x:c>
      <x:c r="C4" s="27" t="n">
        <x:v>3</x:v>
      </x:c>
      <x:c r="D4" s="27" t="str">
        <x:v>2010711926</x:v>
      </x:c>
      <x:c r="E4" s="28" t="str">
        <x:v>价格:生猪:外三元</x:v>
      </x:c>
      <x:c r="F4" s="28" t="str">
        <x:v>Price: Pig: Foreign Mixed Breed</x:v>
      </x:c>
      <x:c r="G4" s="27" t="str">
        <x:v>日</x:v>
      </x:c>
      <x:c r="H4" s="27" t="str">
        <x:v>元/公斤</x:v>
      </x:c>
      <x:c r="I4" s="27" t="str">
        <x:v>当期值</x:v>
      </x:c>
      <x:c r="J4" s="27" t="str">
        <x:v>全国</x:v>
      </x:c>
      <x:c r="K4" s="27" t="str">
        <x:v>中国</x:v>
      </x:c>
      <x:c r="L4" s="28" t="str">
        <x:v>博亚和讯</x:v>
      </x:c>
      <x:c r="M4" s="28" t="str">
        <x:v>getEcoDataIndAgricultural</x:v>
      </x:c>
      <x:c r="N4" s="27" t="str">
        <x:v>2016-01-04</x:v>
      </x:c>
      <x:c r="O4" s="27" t="str">
        <x:v>2026-08-07</x:v>
      </x:c>
      <x:c r="P4" s="27" t="str">
        <x:v>持续更新</x:v>
      </x:c>
      <x:c r="Q4" s="27" t="str"/>
      <x:c r="R4" s="28" t="str"/>
    </x:row>
    <x:row r="5" ht="48" customHeight="1">
      <x:c r="A5" s="27" t="str">
        <x:v>801010</x:v>
      </x:c>
      <x:c r="B5" s="27" t="str">
        <x:v>农林牧渔</x:v>
      </x:c>
      <x:c r="C5" s="27" t="n">
        <x:v>4</x:v>
      </x:c>
      <x:c r="D5" s="27" t="str">
        <x:v>2010000983</x:v>
      </x:c>
      <x:c r="E5" s="28" t="str">
        <x:v>农产品批发价格200指数</x:v>
      </x:c>
      <x:c r="F5" s="28" t="str">
        <x:v>Wholesale Price Index of Agricultural Products</x:v>
      </x:c>
      <x:c r="G5" s="27" t="str">
        <x:v>日</x:v>
      </x:c>
      <x:c r="H5" s="27" t="str">
        <x:v>2015年=100</x:v>
      </x:c>
      <x:c r="I5" s="27" t="str">
        <x:v>定基</x:v>
      </x:c>
      <x:c r="J5" s="27" t="str">
        <x:v>全国</x:v>
      </x:c>
      <x:c r="K5" s="27" t="str">
        <x:v>中国</x:v>
      </x:c>
      <x:c r="L5" s="28" t="str">
        <x:v>中国农业农村部</x:v>
      </x:c>
      <x:c r="M5" s="28" t="str">
        <x:v>getEcoDataIndAgricultural</x:v>
      </x:c>
      <x:c r="N5" s="27" t="str">
        <x:v>2015-01-19</x:v>
      </x:c>
      <x:c r="O5" s="27" t="str">
        <x:v>2026-08-07</x:v>
      </x:c>
      <x:c r="P5" s="27" t="str">
        <x:v>持续更新</x:v>
      </x:c>
      <x:c r="Q5" s="27" t="str"/>
      <x:c r="R5" s="28" t="str"/>
    </x:row>
    <x:row r="6" ht="48" customHeight="1">
      <x:c r="A6" s="27" t="str">
        <x:v>801010</x:v>
      </x:c>
      <x:c r="B6" s="27" t="str">
        <x:v>农林牧渔</x:v>
      </x:c>
      <x:c r="C6" s="27" t="n">
        <x:v>5</x:v>
      </x:c>
      <x:c r="D6" s="27" t="str">
        <x:v>2010000984</x:v>
      </x:c>
      <x:c r="E6" s="28" t="str">
        <x:v>农产品批发价格200指数:菜篮子</x:v>
      </x:c>
      <x:c r="F6" s="28" t="str">
        <x:v>Wholesale Price Index of Agricultural Products 200: Vegetable Basket</x:v>
      </x:c>
      <x:c r="G6" s="27" t="str">
        <x:v>日</x:v>
      </x:c>
      <x:c r="H6" s="27" t="str">
        <x:v>2015年=100</x:v>
      </x:c>
      <x:c r="I6" s="27" t="str">
        <x:v>定基</x:v>
      </x:c>
      <x:c r="J6" s="27" t="str">
        <x:v>全国</x:v>
      </x:c>
      <x:c r="K6" s="27" t="str">
        <x:v>中国</x:v>
      </x:c>
      <x:c r="L6" s="28" t="str">
        <x:v>中国农业农村部</x:v>
      </x:c>
      <x:c r="M6" s="28" t="str">
        <x:v>getEcoDataIndAgricultural</x:v>
      </x:c>
      <x:c r="N6" s="27" t="str">
        <x:v>2015-01-19</x:v>
      </x:c>
      <x:c r="O6" s="27" t="str">
        <x:v>2026-08-07</x:v>
      </x:c>
      <x:c r="P6" s="27" t="str">
        <x:v>持续更新</x:v>
      </x:c>
      <x:c r="Q6" s="27" t="str"/>
      <x:c r="R6" s="28" t="str"/>
    </x:row>
    <x:row r="7" ht="48" customHeight="1">
      <x:c r="A7" s="27" t="str">
        <x:v>801010</x:v>
      </x:c>
      <x:c r="B7" s="27" t="str">
        <x:v>农林牧渔</x:v>
      </x:c>
      <x:c r="C7" s="27" t="n">
        <x:v>6</x:v>
      </x:c>
      <x:c r="D7" s="27" t="str">
        <x:v>2010723605</x:v>
      </x:c>
      <x:c r="E7" s="28" t="str">
        <x:v>收盘价:大商所:农产品期货价格指数</x:v>
      </x:c>
      <x:c r="F7" s="28" t="str">
        <x:v>Closing Price: Dalian Commodity Exchange: Agricultural Futures Price Index</x:v>
      </x:c>
      <x:c r="G7" s="27" t="str">
        <x:v>日</x:v>
      </x:c>
      <x:c r="H7" s="27" t="str">
        <x:v>点</x:v>
      </x:c>
      <x:c r="I7" s="27" t="str">
        <x:v>当期值</x:v>
      </x:c>
      <x:c r="J7" s="27" t="str">
        <x:v>全国</x:v>
      </x:c>
      <x:c r="K7" s="27" t="str">
        <x:v>中国</x:v>
      </x:c>
      <x:c r="L7" s="28" t="str">
        <x:v>大连商品交易所</x:v>
      </x:c>
      <x:c r="M7" s="28" t="str">
        <x:v>getEcoDataIndAgricultural</x:v>
      </x:c>
      <x:c r="N7" s="27" t="str">
        <x:v>2013-01-04</x:v>
      </x:c>
      <x:c r="O7" s="27" t="str">
        <x:v>2026-08-07</x:v>
      </x:c>
      <x:c r="P7" s="27" t="str">
        <x:v>持续更新</x:v>
      </x:c>
      <x:c r="Q7" s="27" t="str"/>
      <x:c r="R7" s="28" t="str"/>
    </x:row>
    <x:row r="8" ht="48" customHeight="1">
      <x:c r="A8" s="27" t="str">
        <x:v>801010</x:v>
      </x:c>
      <x:c r="B8" s="27" t="str">
        <x:v>农林牧渔</x:v>
      </x:c>
      <x:c r="C8" s="27" t="n">
        <x:v>7</x:v>
      </x:c>
      <x:c r="D8" s="27" t="str">
        <x:v>2010723606</x:v>
      </x:c>
      <x:c r="E8" s="28" t="str">
        <x:v>收盘价:大商所:农产品期货价格综合指数</x:v>
      </x:c>
      <x:c r="F8" s="28" t="str">
        <x:v>Closing Price: Dalian Commodity Exchange: Agricultural Futures Price Composite Index</x:v>
      </x:c>
      <x:c r="G8" s="27" t="str">
        <x:v>日</x:v>
      </x:c>
      <x:c r="H8" s="27" t="str">
        <x:v>点</x:v>
      </x:c>
      <x:c r="I8" s="27" t="str">
        <x:v>当期值</x:v>
      </x:c>
      <x:c r="J8" s="27" t="str">
        <x:v>全国</x:v>
      </x:c>
      <x:c r="K8" s="27" t="str">
        <x:v>中国</x:v>
      </x:c>
      <x:c r="L8" s="28" t="str">
        <x:v>大连商品交易所</x:v>
      </x:c>
      <x:c r="M8" s="28" t="str">
        <x:v>getEcoDataIndAgricultural</x:v>
      </x:c>
      <x:c r="N8" s="27" t="str">
        <x:v>2013-01-04</x:v>
      </x:c>
      <x:c r="O8" s="27" t="str">
        <x:v>2026-08-07</x:v>
      </x:c>
      <x:c r="P8" s="27" t="str">
        <x:v>持续更新</x:v>
      </x:c>
      <x:c r="Q8" s="27" t="str"/>
      <x:c r="R8" s="28" t="str"/>
    </x:row>
    <x:row r="9" ht="48" customHeight="1">
      <x:c r="A9" s="27" t="str">
        <x:v>801010</x:v>
      </x:c>
      <x:c r="B9" s="27" t="str">
        <x:v>农林牧渔</x:v>
      </x:c>
      <x:c r="C9" s="27" t="n">
        <x:v>8</x:v>
      </x:c>
      <x:c r="D9" s="27" t="str">
        <x:v>2010723608</x:v>
      </x:c>
      <x:c r="E9" s="28" t="str">
        <x:v>收盘价:大商所:大豆类期货价格指数</x:v>
      </x:c>
      <x:c r="F9" s="28" t="str">
        <x:v>Closing Price: Dalian Commodity Exchange: Soybean Futures Price Index</x:v>
      </x:c>
      <x:c r="G9" s="27" t="str">
        <x:v>日</x:v>
      </x:c>
      <x:c r="H9" s="27" t="str">
        <x:v>点</x:v>
      </x:c>
      <x:c r="I9" s="27" t="str">
        <x:v>当期值</x:v>
      </x:c>
      <x:c r="J9" s="27" t="str">
        <x:v>全国</x:v>
      </x:c>
      <x:c r="K9" s="27" t="str">
        <x:v>中国</x:v>
      </x:c>
      <x:c r="L9" s="28" t="str">
        <x:v>大连商品交易所</x:v>
      </x:c>
      <x:c r="M9" s="28" t="str">
        <x:v>getEcoDataIndAgricultural</x:v>
      </x:c>
      <x:c r="N9" s="27" t="str">
        <x:v>2013-01-04</x:v>
      </x:c>
      <x:c r="O9" s="27" t="str">
        <x:v>2026-08-07</x:v>
      </x:c>
      <x:c r="P9" s="27" t="str">
        <x:v>持续更新</x:v>
      </x:c>
      <x:c r="Q9" s="27" t="str"/>
      <x:c r="R9" s="28" t="str"/>
    </x:row>
    <x:row r="10" ht="48" customHeight="1">
      <x:c r="A10" s="27" t="str">
        <x:v>801010</x:v>
      </x:c>
      <x:c r="B10" s="27" t="str">
        <x:v>农林牧渔</x:v>
      </x:c>
      <x:c r="C10" s="27" t="n">
        <x:v>9</x:v>
      </x:c>
      <x:c r="D10" s="27" t="str">
        <x:v>2010723617</x:v>
      </x:c>
      <x:c r="E10" s="28" t="str">
        <x:v>收盘价:大商所:玉米期货主力合约价格指数</x:v>
      </x:c>
      <x:c r="F10" s="28" t="str">
        <x:v>Closing Price: Dalian Commodity Exchange: Corn Futures Main Contract Price Index</x:v>
      </x:c>
      <x:c r="G10" s="27" t="str">
        <x:v>日</x:v>
      </x:c>
      <x:c r="H10" s="27" t="str">
        <x:v>点</x:v>
      </x:c>
      <x:c r="I10" s="27" t="str">
        <x:v>当期值</x:v>
      </x:c>
      <x:c r="J10" s="27" t="str">
        <x:v>全国</x:v>
      </x:c>
      <x:c r="K10" s="27" t="str">
        <x:v>中国</x:v>
      </x:c>
      <x:c r="L10" s="28" t="str">
        <x:v>大连商品交易所</x:v>
      </x:c>
      <x:c r="M10" s="28" t="str">
        <x:v>getEcoDataIndAgricultural</x:v>
      </x:c>
      <x:c r="N10" s="27" t="str">
        <x:v>2013-01-04</x:v>
      </x:c>
      <x:c r="O10" s="27" t="str">
        <x:v>2026-08-07</x:v>
      </x:c>
      <x:c r="P10" s="27" t="str">
        <x:v>持续更新</x:v>
      </x:c>
      <x:c r="Q10" s="27" t="str"/>
      <x:c r="R10" s="28" t="str"/>
    </x:row>
    <x:row r="11" ht="48" customHeight="1">
      <x:c r="A11" s="27" t="str">
        <x:v>801010</x:v>
      </x:c>
      <x:c r="B11" s="27" t="str">
        <x:v>农林牧渔</x:v>
      </x:c>
      <x:c r="C11" s="27" t="n">
        <x:v>10</x:v>
      </x:c>
      <x:c r="D11" s="27" t="str">
        <x:v>2010723610</x:v>
      </x:c>
      <x:c r="E11" s="28" t="str">
        <x:v>收盘价:大商所:玉米期货价格指数</x:v>
      </x:c>
      <x:c r="F11" s="28" t="str">
        <x:v>Closing Price: Dalian Commodity Exchange: Corn Futures Price Index</x:v>
      </x:c>
      <x:c r="G11" s="27" t="str">
        <x:v>日</x:v>
      </x:c>
      <x:c r="H11" s="27" t="str">
        <x:v>点</x:v>
      </x:c>
      <x:c r="I11" s="27" t="str">
        <x:v>当期值</x:v>
      </x:c>
      <x:c r="J11" s="27" t="str">
        <x:v>全国</x:v>
      </x:c>
      <x:c r="K11" s="27" t="str">
        <x:v>中国</x:v>
      </x:c>
      <x:c r="L11" s="28" t="str">
        <x:v>大连商品交易所</x:v>
      </x:c>
      <x:c r="M11" s="28" t="str">
        <x:v>getEcoDataIndAgricultural</x:v>
      </x:c>
      <x:c r="N11" s="27" t="str">
        <x:v>2013-01-04</x:v>
      </x:c>
      <x:c r="O11" s="27" t="str">
        <x:v>2026-08-07</x:v>
      </x:c>
      <x:c r="P11" s="27" t="str">
        <x:v>持续更新</x:v>
      </x:c>
      <x:c r="Q11" s="27" t="str"/>
      <x:c r="R11" s="28" t="str"/>
    </x:row>
    <x:row r="12" ht="48" customHeight="1">
      <x:c r="A12" s="27" t="str">
        <x:v>801010</x:v>
      </x:c>
      <x:c r="B12" s="27" t="str">
        <x:v>农林牧渔</x:v>
      </x:c>
      <x:c r="C12" s="27" t="n">
        <x:v>11</x:v>
      </x:c>
      <x:c r="D12" s="27" t="str">
        <x:v>2010723625</x:v>
      </x:c>
      <x:c r="E12" s="28" t="str">
        <x:v>收盘价:大商所:玉米淀粉加工利润指数</x:v>
      </x:c>
      <x:c r="F12" s="28" t="str">
        <x:v>Closing Price: Dalian Commodity Exchange: Corn Starch Processing Profit Index</x:v>
      </x:c>
      <x:c r="G12" s="27" t="str">
        <x:v>日</x:v>
      </x:c>
      <x:c r="H12" s="27" t="str">
        <x:v>点</x:v>
      </x:c>
      <x:c r="I12" s="27" t="str">
        <x:v>当期值</x:v>
      </x:c>
      <x:c r="J12" s="27" t="str">
        <x:v>全国</x:v>
      </x:c>
      <x:c r="K12" s="27" t="str">
        <x:v>中国</x:v>
      </x:c>
      <x:c r="L12" s="28" t="str">
        <x:v>大连商品交易所</x:v>
      </x:c>
      <x:c r="M12" s="28" t="str">
        <x:v>getEcoDataIndAgricultural</x:v>
      </x:c>
      <x:c r="N12" s="27" t="str">
        <x:v>2014-12-19</x:v>
      </x:c>
      <x:c r="O12" s="27" t="str">
        <x:v>2026-08-07</x:v>
      </x:c>
      <x:c r="P12" s="27" t="str">
        <x:v>持续更新</x:v>
      </x:c>
      <x:c r="Q12" s="27" t="str"/>
      <x:c r="R12" s="28" t="str"/>
    </x:row>
    <x:row r="13" ht="48" customHeight="1">
      <x:c r="A13" s="27" t="str">
        <x:v>801010</x:v>
      </x:c>
      <x:c r="B13" s="27" t="str">
        <x:v>农林牧渔</x:v>
      </x:c>
      <x:c r="C13" s="27" t="n">
        <x:v>12</x:v>
      </x:c>
      <x:c r="D13" s="27" t="str">
        <x:v>2010723618</x:v>
      </x:c>
      <x:c r="E13" s="28" t="str">
        <x:v>收盘价:大商所:玉米淀粉期货主力合约价格指数</x:v>
      </x:c>
      <x:c r="F13" s="28" t="str">
        <x:v>Closing Price: Dalian Commodity Exchange: Corn Starch Futures Main Contract Price Index</x:v>
      </x:c>
      <x:c r="G13" s="27" t="str">
        <x:v>日</x:v>
      </x:c>
      <x:c r="H13" s="27" t="str">
        <x:v>点</x:v>
      </x:c>
      <x:c r="I13" s="27" t="str">
        <x:v>当期值</x:v>
      </x:c>
      <x:c r="J13" s="27" t="str">
        <x:v>全国</x:v>
      </x:c>
      <x:c r="K13" s="27" t="str">
        <x:v>中国</x:v>
      </x:c>
      <x:c r="L13" s="28" t="str">
        <x:v>大连商品交易所</x:v>
      </x:c>
      <x:c r="M13" s="28" t="str">
        <x:v>getEcoDataIndAgricultural</x:v>
      </x:c>
      <x:c r="N13" s="27" t="str">
        <x:v>2014-12-19</x:v>
      </x:c>
      <x:c r="O13" s="27" t="str">
        <x:v>2026-08-07</x:v>
      </x:c>
      <x:c r="P13" s="27" t="str">
        <x:v>持续更新</x:v>
      </x:c>
      <x:c r="Q13" s="27" t="str"/>
      <x:c r="R13" s="28" t="str"/>
    </x:row>
    <x:row r="14" ht="48" customHeight="1">
      <x:c r="A14" s="27" t="str">
        <x:v>801010</x:v>
      </x:c>
      <x:c r="B14" s="27" t="str">
        <x:v>农林牧渔</x:v>
      </x:c>
      <x:c r="C14" s="27" t="n">
        <x:v>13</x:v>
      </x:c>
      <x:c r="D14" s="27" t="str">
        <x:v>2010723611</x:v>
      </x:c>
      <x:c r="E14" s="28" t="str">
        <x:v>收盘价:大商所:玉米淀粉期货价格指数</x:v>
      </x:c>
      <x:c r="F14" s="28" t="str">
        <x:v>Closing Price: Dalian Commodity Exchange: Corn Starch Futures Price Index</x:v>
      </x:c>
      <x:c r="G14" s="27" t="str">
        <x:v>日</x:v>
      </x:c>
      <x:c r="H14" s="27" t="str">
        <x:v>点</x:v>
      </x:c>
      <x:c r="I14" s="27" t="str">
        <x:v>当期值</x:v>
      </x:c>
      <x:c r="J14" s="27" t="str">
        <x:v>全国</x:v>
      </x:c>
      <x:c r="K14" s="27" t="str">
        <x:v>中国</x:v>
      </x:c>
      <x:c r="L14" s="28" t="str">
        <x:v>大连商品交易所</x:v>
      </x:c>
      <x:c r="M14" s="28" t="str">
        <x:v>getEcoDataIndAgricultural</x:v>
      </x:c>
      <x:c r="N14" s="27" t="str">
        <x:v>2014-12-19</x:v>
      </x:c>
      <x:c r="O14" s="27" t="str">
        <x:v>2026-08-07</x:v>
      </x:c>
      <x:c r="P14" s="27" t="str">
        <x:v>持续更新</x:v>
      </x:c>
      <x:c r="Q14" s="27" t="str"/>
      <x:c r="R14" s="28" t="str"/>
    </x:row>
    <x:row r="15" ht="48" customHeight="1">
      <x:c r="A15" s="27" t="str">
        <x:v>801010</x:v>
      </x:c>
      <x:c r="B15" s="27" t="str">
        <x:v>农林牧渔</x:v>
      </x:c>
      <x:c r="C15" s="27" t="n">
        <x:v>14</x:v>
      </x:c>
      <x:c r="D15" s="27" t="str">
        <x:v>2010723620</x:v>
      </x:c>
      <x:c r="E15" s="28" t="str">
        <x:v>收盘价:大商所:豆粕期货主力合约价格指数</x:v>
      </x:c>
      <x:c r="F15" s="28" t="str">
        <x:v>Closing Price: Dalian Commodity Exchange: Soybean Meal Main Contract Price Index</x:v>
      </x:c>
      <x:c r="G15" s="27" t="str">
        <x:v>日</x:v>
      </x:c>
      <x:c r="H15" s="27" t="str">
        <x:v>点</x:v>
      </x:c>
      <x:c r="I15" s="27" t="str">
        <x:v>当期值</x:v>
      </x:c>
      <x:c r="J15" s="27" t="str">
        <x:v>全国</x:v>
      </x:c>
      <x:c r="K15" s="27" t="str">
        <x:v>中国</x:v>
      </x:c>
      <x:c r="L15" s="28" t="str">
        <x:v>大连商品交易所</x:v>
      </x:c>
      <x:c r="M15" s="28" t="str">
        <x:v>getEcoDataIndAgricultural</x:v>
      </x:c>
      <x:c r="N15" s="27" t="str">
        <x:v>2013-01-04</x:v>
      </x:c>
      <x:c r="O15" s="27" t="str">
        <x:v>2026-08-07</x:v>
      </x:c>
      <x:c r="P15" s="27" t="str">
        <x:v>持续更新</x:v>
      </x:c>
      <x:c r="Q15" s="27" t="str"/>
      <x:c r="R15" s="28" t="str"/>
    </x:row>
    <x:row r="16" ht="48" customHeight="1">
      <x:c r="A16" s="27" t="str">
        <x:v>801010</x:v>
      </x:c>
      <x:c r="B16" s="27" t="str">
        <x:v>农林牧渔</x:v>
      </x:c>
      <x:c r="C16" s="27" t="n">
        <x:v>15</x:v>
      </x:c>
      <x:c r="D16" s="27" t="str">
        <x:v>2010723613</x:v>
      </x:c>
      <x:c r="E16" s="28" t="str">
        <x:v>收盘价:大商所:豆粕期货价格指数</x:v>
      </x:c>
      <x:c r="F16" s="28" t="str">
        <x:v>Closing Price: Dalian Commodity Exchange: Soybean Meal Futures Price Index</x:v>
      </x:c>
      <x:c r="G16" s="27" t="str">
        <x:v>日</x:v>
      </x:c>
      <x:c r="H16" s="27" t="str">
        <x:v>点</x:v>
      </x:c>
      <x:c r="I16" s="27" t="str">
        <x:v>当期值</x:v>
      </x:c>
      <x:c r="J16" s="27" t="str">
        <x:v>全国</x:v>
      </x:c>
      <x:c r="K16" s="27" t="str">
        <x:v>中国</x:v>
      </x:c>
      <x:c r="L16" s="28" t="str">
        <x:v>大连商品交易所</x:v>
      </x:c>
      <x:c r="M16" s="28" t="str">
        <x:v>getEcoDataIndAgricultural</x:v>
      </x:c>
      <x:c r="N16" s="27" t="str">
        <x:v>2013-01-04</x:v>
      </x:c>
      <x:c r="O16" s="27" t="str">
        <x:v>2026-08-07</x:v>
      </x:c>
      <x:c r="P16" s="27" t="str">
        <x:v>持续更新</x:v>
      </x:c>
      <x:c r="Q16" s="27" t="str"/>
      <x:c r="R16" s="28" t="str"/>
    </x:row>
    <x:row r="17" ht="48" customHeight="1">
      <x:c r="A17" s="27" t="str">
        <x:v>801010</x:v>
      </x:c>
      <x:c r="B17" s="27" t="str">
        <x:v>农林牧渔</x:v>
      </x:c>
      <x:c r="C17" s="27" t="n">
        <x:v>16</x:v>
      </x:c>
      <x:c r="D17" s="27" t="str">
        <x:v>2010723609</x:v>
      </x:c>
      <x:c r="E17" s="28" t="str">
        <x:v>收盘价:大商所:饲料类期货价格指数</x:v>
      </x:c>
      <x:c r="F17" s="28" t="str">
        <x:v>Closing Price: Dalian Commodity Exchange: Feed Futures Price Index</x:v>
      </x:c>
      <x:c r="G17" s="27" t="str">
        <x:v>日</x:v>
      </x:c>
      <x:c r="H17" s="27" t="str">
        <x:v>点</x:v>
      </x:c>
      <x:c r="I17" s="27" t="str">
        <x:v>当期值</x:v>
      </x:c>
      <x:c r="J17" s="27" t="str">
        <x:v>全国</x:v>
      </x:c>
      <x:c r="K17" s="27" t="str">
        <x:v>中国</x:v>
      </x:c>
      <x:c r="L17" s="28" t="str">
        <x:v>大连商品交易所</x:v>
      </x:c>
      <x:c r="M17" s="28" t="str">
        <x:v>getEcoDataIndAgricultural</x:v>
      </x:c>
      <x:c r="N17" s="27" t="str">
        <x:v>2013-01-04</x:v>
      </x:c>
      <x:c r="O17" s="27" t="str">
        <x:v>2026-08-07</x:v>
      </x:c>
      <x:c r="P17" s="27" t="str">
        <x:v>持续更新</x:v>
      </x:c>
      <x:c r="Q17" s="27" t="str"/>
      <x:c r="R17" s="28" t="str"/>
    </x:row>
    <x:row r="18" ht="48" customHeight="1">
      <x:c r="A18" s="27" t="str">
        <x:v>801010</x:v>
      </x:c>
      <x:c r="B18" s="27" t="str">
        <x:v>农林牧渔</x:v>
      </x:c>
      <x:c r="C18" s="27" t="n">
        <x:v>17</x:v>
      </x:c>
      <x:c r="D18" s="27" t="str">
        <x:v>2010723623</x:v>
      </x:c>
      <x:c r="E18" s="28" t="str">
        <x:v>收盘价:大商所:鸡蛋期货主力合约价格指数</x:v>
      </x:c>
      <x:c r="F18" s="28" t="str">
        <x:v>Closing Price: Dalian Commodity Exchange: Egg Futures Price Main Contract Index</x:v>
      </x:c>
      <x:c r="G18" s="27" t="str">
        <x:v>日</x:v>
      </x:c>
      <x:c r="H18" s="27" t="str">
        <x:v>点</x:v>
      </x:c>
      <x:c r="I18" s="27" t="str">
        <x:v>当期值</x:v>
      </x:c>
      <x:c r="J18" s="27" t="str">
        <x:v>全国</x:v>
      </x:c>
      <x:c r="K18" s="27" t="str">
        <x:v>中国</x:v>
      </x:c>
      <x:c r="L18" s="28" t="str">
        <x:v>大连商品交易所</x:v>
      </x:c>
      <x:c r="M18" s="28" t="str">
        <x:v>getEcoDataIndAgricultural</x:v>
      </x:c>
      <x:c r="N18" s="27" t="str">
        <x:v>2013-11-08</x:v>
      </x:c>
      <x:c r="O18" s="27" t="str">
        <x:v>2026-08-07</x:v>
      </x:c>
      <x:c r="P18" s="27" t="str">
        <x:v>持续更新</x:v>
      </x:c>
      <x:c r="Q18" s="27" t="str"/>
      <x:c r="R18" s="28" t="str"/>
    </x:row>
    <x:row r="19" ht="48" customHeight="1">
      <x:c r="A19" s="27" t="str">
        <x:v>801010</x:v>
      </x:c>
      <x:c r="B19" s="27" t="str">
        <x:v>农林牧渔</x:v>
      </x:c>
      <x:c r="C19" s="27" t="n">
        <x:v>18</x:v>
      </x:c>
      <x:c r="D19" s="27" t="str">
        <x:v>2010723616</x:v>
      </x:c>
      <x:c r="E19" s="28" t="str">
        <x:v>收盘价:大商所:鸡蛋期货价格指数</x:v>
      </x:c>
      <x:c r="F19" s="28" t="str">
        <x:v>Closing Price: Dalian Commodity Exchange: Egg Futures Price Index</x:v>
      </x:c>
      <x:c r="G19" s="27" t="str">
        <x:v>日</x:v>
      </x:c>
      <x:c r="H19" s="27" t="str">
        <x:v>点</x:v>
      </x:c>
      <x:c r="I19" s="27" t="str">
        <x:v>当期值</x:v>
      </x:c>
      <x:c r="J19" s="27" t="str">
        <x:v>全国</x:v>
      </x:c>
      <x:c r="K19" s="27" t="str">
        <x:v>中国</x:v>
      </x:c>
      <x:c r="L19" s="28" t="str">
        <x:v>大连商品交易所</x:v>
      </x:c>
      <x:c r="M19" s="28" t="str">
        <x:v>getEcoDataIndAgricultural</x:v>
      </x:c>
      <x:c r="N19" s="27" t="str">
        <x:v>2013-11-08</x:v>
      </x:c>
      <x:c r="O19" s="27" t="str">
        <x:v>2026-08-07</x:v>
      </x:c>
      <x:c r="P19" s="27" t="str">
        <x:v>持续更新</x:v>
      </x:c>
      <x:c r="Q19" s="27" t="str"/>
      <x:c r="R19" s="28" t="str"/>
    </x:row>
    <x:row r="20" ht="48" customHeight="1">
      <x:c r="A20" s="27" t="str">
        <x:v>801010</x:v>
      </x:c>
      <x:c r="B20" s="27" t="str">
        <x:v>农林牧渔</x:v>
      </x:c>
      <x:c r="C20" s="27" t="n">
        <x:v>19</x:v>
      </x:c>
      <x:c r="D20" s="27" t="str">
        <x:v>1040015395</x:v>
      </x:c>
      <x:c r="E20" s="28" t="str">
        <x:v>农产品生产价格指数:渔业产品:海水养殖(上年同期=100)</x:v>
      </x:c>
      <x:c r="F20" s="28" t="str">
        <x:v>Price Index of Agricultural Produce: Fishery: Mariculture (CPPY=100)</x:v>
      </x:c>
      <x:c r="G20" s="27" t="str">
        <x:v>季</x:v>
      </x:c>
      <x:c r="H20" s="27" t="str">
        <x:v>上年同期=100</x:v>
      </x:c>
      <x:c r="I20" s="27" t="str">
        <x:v>当期值</x:v>
      </x:c>
      <x:c r="J20" s="27" t="str">
        <x:v>全国</x:v>
      </x:c>
      <x:c r="K20" s="27" t="str">
        <x:v>中国</x:v>
      </x:c>
      <x:c r="L20" s="28" t="str">
        <x:v>国家统计局</x:v>
      </x:c>
      <x:c r="M20" s="28" t="str">
        <x:v>getEcoDataChina</x:v>
      </x:c>
      <x:c r="N20" s="27" t="str">
        <x:v>2011-03-31</x:v>
      </x:c>
      <x:c r="O20" s="27" t="str">
        <x:v>2026-06-30</x:v>
      </x:c>
      <x:c r="P20" s="27" t="str">
        <x:v>持续更新</x:v>
      </x:c>
      <x:c r="Q20" s="27" t="str"/>
      <x:c r="R20" s="28" t="str"/>
    </x:row>
    <x:row r="21" ht="48" customHeight="1">
      <x:c r="A21" s="27" t="str">
        <x:v>801010</x:v>
      </x:c>
      <x:c r="B21" s="27" t="str">
        <x:v>农林牧渔</x:v>
      </x:c>
      <x:c r="C21" s="27" t="n">
        <x:v>20</x:v>
      </x:c>
      <x:c r="D21" s="27" t="str">
        <x:v>1040015396</x:v>
      </x:c>
      <x:c r="E21" s="28" t="str">
        <x:v>农产品生产价格指数:渔业产品:淡水养殖(上年同期=100)</x:v>
      </x:c>
      <x:c r="F21" s="28" t="str">
        <x:v>Price Index of Agricultural Produce: Fishery: Freshwater Aquaculture (CPPY=100)</x:v>
      </x:c>
      <x:c r="G21" s="27" t="str">
        <x:v>季</x:v>
      </x:c>
      <x:c r="H21" s="27" t="str">
        <x:v>上年同期=100</x:v>
      </x:c>
      <x:c r="I21" s="27" t="str">
        <x:v>当期值</x:v>
      </x:c>
      <x:c r="J21" s="27" t="str">
        <x:v>全国</x:v>
      </x:c>
      <x:c r="K21" s="27" t="str">
        <x:v>中国</x:v>
      </x:c>
      <x:c r="L21" s="28" t="str">
        <x:v>国家统计局</x:v>
      </x:c>
      <x:c r="M21" s="28" t="str">
        <x:v>getEcoDataChina</x:v>
      </x:c>
      <x:c r="N21" s="27" t="str">
        <x:v>2011-03-31</x:v>
      </x:c>
      <x:c r="O21" s="27" t="str">
        <x:v>2026-06-30</x:v>
      </x:c>
      <x:c r="P21" s="27" t="str">
        <x:v>持续更新</x:v>
      </x:c>
      <x:c r="Q21" s="27" t="str"/>
      <x:c r="R21" s="28" t="str"/>
    </x:row>
    <x:row r="22" ht="48" customHeight="1">
      <x:c r="A22" s="27" t="str">
        <x:v>801010</x:v>
      </x:c>
      <x:c r="B22" s="27" t="str">
        <x:v>农林牧渔</x:v>
      </x:c>
      <x:c r="C22" s="27" t="n">
        <x:v>21</x:v>
      </x:c>
      <x:c r="D22" s="27" t="str">
        <x:v>1040001914</x:v>
      </x:c>
      <x:c r="E22" s="28" t="str">
        <x:v>国内期货价格:强小麦</x:v>
      </x:c>
      <x:c r="F22" s="28" t="str">
        <x:v>Domestic Futures Prices: Wheat Wh</x:v>
      </x:c>
      <x:c r="G22" s="27" t="str">
        <x:v>周</x:v>
      </x:c>
      <x:c r="H22" s="27" t="str">
        <x:v>元/吨</x:v>
      </x:c>
      <x:c r="I22" s="27" t="str">
        <x:v>当期值</x:v>
      </x:c>
      <x:c r="J22" s="27" t="str">
        <x:v>全国</x:v>
      </x:c>
      <x:c r="K22" s="27" t="str">
        <x:v>中国</x:v>
      </x:c>
      <x:c r="L22" s="28" t="str">
        <x:v>商务部</x:v>
      </x:c>
      <x:c r="M22" s="28" t="str">
        <x:v>getEcoDataChina</x:v>
      </x:c>
      <x:c r="N22" s="27" t="str">
        <x:v>2005-04-08</x:v>
      </x:c>
      <x:c r="O22" s="27" t="str">
        <x:v>2026-07-31</x:v>
      </x:c>
      <x:c r="P22" s="27" t="str">
        <x:v>持续更新</x:v>
      </x:c>
      <x:c r="Q22" s="27" t="str"/>
      <x:c r="R22" s="28" t="str"/>
    </x:row>
    <x:row r="23" ht="48" customHeight="1">
      <x:c r="A23" s="27" t="str">
        <x:v>801010</x:v>
      </x:c>
      <x:c r="B23" s="27" t="str">
        <x:v>农林牧渔</x:v>
      </x:c>
      <x:c r="C23" s="27" t="n">
        <x:v>22</x:v>
      </x:c>
      <x:c r="D23" s="27" t="str">
        <x:v>1040001913</x:v>
      </x:c>
      <x:c r="E23" s="28" t="str">
        <x:v>国内期货价格:棉花</x:v>
      </x:c>
      <x:c r="F23" s="28" t="str">
        <x:v>Domestic Futures Prices: Cotton</x:v>
      </x:c>
      <x:c r="G23" s="27" t="str">
        <x:v>周</x:v>
      </x:c>
      <x:c r="H23" s="27" t="str">
        <x:v>元/吨</x:v>
      </x:c>
      <x:c r="I23" s="27" t="str">
        <x:v>当期值</x:v>
      </x:c>
      <x:c r="J23" s="27" t="str">
        <x:v>全国</x:v>
      </x:c>
      <x:c r="K23" s="27" t="str">
        <x:v>中国</x:v>
      </x:c>
      <x:c r="L23" s="28" t="str">
        <x:v>商务部</x:v>
      </x:c>
      <x:c r="M23" s="28" t="str">
        <x:v>getEcoDataChina</x:v>
      </x:c>
      <x:c r="N23" s="27" t="str">
        <x:v>2005-04-08</x:v>
      </x:c>
      <x:c r="O23" s="27" t="str">
        <x:v>2026-07-31</x:v>
      </x:c>
      <x:c r="P23" s="27" t="str">
        <x:v>持续更新</x:v>
      </x:c>
      <x:c r="Q23" s="27" t="str"/>
      <x:c r="R23" s="28" t="str"/>
    </x:row>
    <x:row r="24" ht="48" customHeight="1">
      <x:c r="A24" s="27" t="str">
        <x:v>801010</x:v>
      </x:c>
      <x:c r="B24" s="27" t="str">
        <x:v>农林牧渔</x:v>
      </x:c>
      <x:c r="C24" s="27" t="n">
        <x:v>23</x:v>
      </x:c>
      <x:c r="D24" s="27" t="str">
        <x:v>1040001918</x:v>
      </x:c>
      <x:c r="E24" s="28" t="str">
        <x:v>国内期货价格:玉米</x:v>
      </x:c>
      <x:c r="F24" s="28" t="str">
        <x:v>Domestic Futures Prices: Corn</x:v>
      </x:c>
      <x:c r="G24" s="27" t="str">
        <x:v>周</x:v>
      </x:c>
      <x:c r="H24" s="27" t="str">
        <x:v>元/吨</x:v>
      </x:c>
      <x:c r="I24" s="27" t="str">
        <x:v>当期值</x:v>
      </x:c>
      <x:c r="J24" s="27" t="str">
        <x:v>全国</x:v>
      </x:c>
      <x:c r="K24" s="27" t="str">
        <x:v>中国</x:v>
      </x:c>
      <x:c r="L24" s="28" t="str">
        <x:v>商务部</x:v>
      </x:c>
      <x:c r="M24" s="28" t="str">
        <x:v>getEcoDataChina</x:v>
      </x:c>
      <x:c r="N24" s="27" t="str">
        <x:v>2004-12-31</x:v>
      </x:c>
      <x:c r="O24" s="27" t="str">
        <x:v>2026-07-31</x:v>
      </x:c>
      <x:c r="P24" s="27" t="str">
        <x:v>持续更新</x:v>
      </x:c>
      <x:c r="Q24" s="27" t="str"/>
      <x:c r="R24" s="28" t="str"/>
    </x:row>
    <x:row r="25" ht="48" customHeight="1">
      <x:c r="A25" s="27" t="str">
        <x:v>801010</x:v>
      </x:c>
      <x:c r="B25" s="27" t="str">
        <x:v>农林牧渔</x:v>
      </x:c>
      <x:c r="C25" s="27" t="n">
        <x:v>24</x:v>
      </x:c>
      <x:c r="D25" s="27" t="str">
        <x:v>1040001912</x:v>
      </x:c>
      <x:c r="E25" s="28" t="str">
        <x:v>国内期货价格:白糖</x:v>
      </x:c>
      <x:c r="F25" s="28" t="str">
        <x:v>Domestic Futures Prices: White Sugar</x:v>
      </x:c>
      <x:c r="G25" s="27" t="str">
        <x:v>周</x:v>
      </x:c>
      <x:c r="H25" s="27" t="str">
        <x:v>元/吨</x:v>
      </x:c>
      <x:c r="I25" s="27" t="str">
        <x:v>当期值</x:v>
      </x:c>
      <x:c r="J25" s="27" t="str">
        <x:v>全国</x:v>
      </x:c>
      <x:c r="K25" s="27" t="str">
        <x:v>中国</x:v>
      </x:c>
      <x:c r="L25" s="28" t="str">
        <x:v>商务部</x:v>
      </x:c>
      <x:c r="M25" s="28" t="str">
        <x:v>getEcoDataChina</x:v>
      </x:c>
      <x:c r="N25" s="27" t="str">
        <x:v>2006-03-03</x:v>
      </x:c>
      <x:c r="O25" s="27" t="str">
        <x:v>2026-07-31</x:v>
      </x:c>
      <x:c r="P25" s="27" t="str">
        <x:v>持续更新</x:v>
      </x:c>
      <x:c r="Q25" s="27" t="str"/>
      <x:c r="R25" s="28" t="str"/>
    </x:row>
    <x:row r="26" ht="48" customHeight="1">
      <x:c r="A26" s="27" t="str">
        <x:v>801010</x:v>
      </x:c>
      <x:c r="B26" s="27" t="str">
        <x:v>农林牧渔</x:v>
      </x:c>
      <x:c r="C26" s="27" t="n">
        <x:v>25</x:v>
      </x:c>
      <x:c r="D26" s="27" t="str">
        <x:v>1040001915</x:v>
      </x:c>
      <x:c r="E26" s="28" t="str">
        <x:v>国内期货价格:硬小麦</x:v>
      </x:c>
      <x:c r="F26" s="28" t="str">
        <x:v>Domestic Futures Prices: Wheat Pm</x:v>
      </x:c>
      <x:c r="G26" s="27" t="str">
        <x:v>周</x:v>
      </x:c>
      <x:c r="H26" s="27" t="str">
        <x:v>元/吨</x:v>
      </x:c>
      <x:c r="I26" s="27" t="str">
        <x:v>当期值</x:v>
      </x:c>
      <x:c r="J26" s="27" t="str">
        <x:v>全国</x:v>
      </x:c>
      <x:c r="K26" s="27" t="str">
        <x:v>中国</x:v>
      </x:c>
      <x:c r="L26" s="28" t="str">
        <x:v>商务部</x:v>
      </x:c>
      <x:c r="M26" s="28" t="str">
        <x:v>getEcoDataChina</x:v>
      </x:c>
      <x:c r="N26" s="27" t="str">
        <x:v>2005-04-08</x:v>
      </x:c>
      <x:c r="O26" s="27" t="str">
        <x:v>2026-07-31</x:v>
      </x:c>
      <x:c r="P26" s="27" t="str">
        <x:v>持续更新</x:v>
      </x:c>
      <x:c r="Q26" s="27" t="str"/>
      <x:c r="R26" s="28" t="str"/>
    </x:row>
    <x:row r="27" ht="48" customHeight="1">
      <x:c r="A27" s="27" t="str">
        <x:v>801010</x:v>
      </x:c>
      <x:c r="B27" s="27" t="str">
        <x:v>农林牧渔</x:v>
      </x:c>
      <x:c r="C27" s="27" t="n">
        <x:v>26</x:v>
      </x:c>
      <x:c r="D27" s="27" t="str">
        <x:v>1040001919</x:v>
      </x:c>
      <x:c r="E27" s="28" t="str">
        <x:v>国内期货价格:豆粕</x:v>
      </x:c>
      <x:c r="F27" s="28" t="str">
        <x:v>Domestic Futures Prices: Soybean Meal</x:v>
      </x:c>
      <x:c r="G27" s="27" t="str">
        <x:v>周</x:v>
      </x:c>
      <x:c r="H27" s="27" t="str">
        <x:v>元/吨</x:v>
      </x:c>
      <x:c r="I27" s="27" t="str">
        <x:v>当期值</x:v>
      </x:c>
      <x:c r="J27" s="27" t="str">
        <x:v>全国</x:v>
      </x:c>
      <x:c r="K27" s="27" t="str">
        <x:v>中国</x:v>
      </x:c>
      <x:c r="L27" s="28" t="str">
        <x:v>商务部</x:v>
      </x:c>
      <x:c r="M27" s="28" t="str">
        <x:v>getEcoDataChina</x:v>
      </x:c>
      <x:c r="N27" s="27" t="str">
        <x:v>2004-12-31</x:v>
      </x:c>
      <x:c r="O27" s="27" t="str">
        <x:v>2026-07-31</x:v>
      </x:c>
      <x:c r="P27" s="27" t="str">
        <x:v>持续更新</x:v>
      </x:c>
      <x:c r="Q27" s="27" t="str"/>
      <x:c r="R27" s="28" t="str"/>
    </x:row>
    <x:row r="28" ht="48" customHeight="1">
      <x:c r="A28" s="27" t="str">
        <x:v>801010</x:v>
      </x:c>
      <x:c r="B28" s="27" t="str">
        <x:v>农林牧渔</x:v>
      </x:c>
      <x:c r="C28" s="27" t="n">
        <x:v>27</x:v>
      </x:c>
      <x:c r="D28" s="27" t="str">
        <x:v>1040001861</x:v>
      </x:c>
      <x:c r="E28" s="28" t="str">
        <x:v>国内现货价格:零售价:小包装大米</x:v>
      </x:c>
      <x:c r="F28" s="28" t="str">
        <x:v>Domestic Spot Price: Retail Price: Small-Packaged Rice</x:v>
      </x:c>
      <x:c r="G28" s="27" t="str">
        <x:v>周</x:v>
      </x:c>
      <x:c r="H28" s="27" t="str">
        <x:v>元/公斤</x:v>
      </x:c>
      <x:c r="I28" s="27" t="str">
        <x:v>当期值</x:v>
      </x:c>
      <x:c r="J28" s="27" t="str">
        <x:v>全国</x:v>
      </x:c>
      <x:c r="K28" s="27" t="str">
        <x:v>中国</x:v>
      </x:c>
      <x:c r="L28" s="28" t="str">
        <x:v>商务部</x:v>
      </x:c>
      <x:c r="M28" s="28" t="str">
        <x:v>getEcoDataChina</x:v>
      </x:c>
      <x:c r="N28" s="27" t="str">
        <x:v>2004-01-02</x:v>
      </x:c>
      <x:c r="O28" s="27" t="str">
        <x:v>2026-07-31</x:v>
      </x:c>
      <x:c r="P28" s="27" t="str">
        <x:v>持续更新</x:v>
      </x:c>
      <x:c r="Q28" s="27" t="str"/>
      <x:c r="R28" s="28" t="str"/>
    </x:row>
    <x:row r="29" ht="48" customHeight="1">
      <x:c r="A29" s="27" t="str">
        <x:v>801010</x:v>
      </x:c>
      <x:c r="B29" s="27" t="str">
        <x:v>农林牧渔</x:v>
      </x:c>
      <x:c r="C29" s="27" t="n">
        <x:v>28</x:v>
      </x:c>
      <x:c r="D29" s="27" t="str">
        <x:v>1040001870</x:v>
      </x:c>
      <x:c r="E29" s="28" t="str">
        <x:v>国内现货价格:零售价:鸡蛋</x:v>
      </x:c>
      <x:c r="F29" s="28" t="str">
        <x:v>Domestic Spot Price: Retail Price: Egg</x:v>
      </x:c>
      <x:c r="G29" s="27" t="str">
        <x:v>周</x:v>
      </x:c>
      <x:c r="H29" s="27" t="str">
        <x:v>元/公斤</x:v>
      </x:c>
      <x:c r="I29" s="27" t="str">
        <x:v>当期值</x:v>
      </x:c>
      <x:c r="J29" s="27" t="str">
        <x:v>全国</x:v>
      </x:c>
      <x:c r="K29" s="27" t="str">
        <x:v>中国</x:v>
      </x:c>
      <x:c r="L29" s="28" t="str">
        <x:v>商务部</x:v>
      </x:c>
      <x:c r="M29" s="28" t="str">
        <x:v>getEcoDataChina</x:v>
      </x:c>
      <x:c r="N29" s="27" t="str">
        <x:v>2004-01-02</x:v>
      </x:c>
      <x:c r="O29" s="27" t="str">
        <x:v>2026-07-31</x:v>
      </x:c>
      <x:c r="P29" s="27" t="str">
        <x:v>持续更新</x:v>
      </x:c>
      <x:c r="Q29" s="27" t="str"/>
      <x:c r="R29" s="28" t="str"/>
    </x:row>
    <x:row r="30" ht="48" customHeight="1">
      <x:c r="A30" s="27" t="str">
        <x:v>801010</x:v>
      </x:c>
      <x:c r="B30" s="27" t="str">
        <x:v>农林牧渔</x:v>
      </x:c>
      <x:c r="C30" s="27" t="n">
        <x:v>29</x:v>
      </x:c>
      <x:c r="D30" s="27" t="str">
        <x:v>1040001943</x:v>
      </x:c>
      <x:c r="E30" s="28" t="str">
        <x:v>国际期货价格:CBOT:小麦</x:v>
      </x:c>
      <x:c r="F30" s="28" t="str">
        <x:v>International Futures Prices: Wheat (CBOT)</x:v>
      </x:c>
      <x:c r="G30" s="27" t="str">
        <x:v>周</x:v>
      </x:c>
      <x:c r="H30" s="27" t="str">
        <x:v>美分/60磅</x:v>
      </x:c>
      <x:c r="I30" s="27" t="str">
        <x:v>当期值</x:v>
      </x:c>
      <x:c r="J30" s="27" t="str">
        <x:v>全国</x:v>
      </x:c>
      <x:c r="K30" s="27" t="str">
        <x:v>中国</x:v>
      </x:c>
      <x:c r="L30" s="28" t="str">
        <x:v>商务部</x:v>
      </x:c>
      <x:c r="M30" s="28" t="str">
        <x:v>getEcoDataChina</x:v>
      </x:c>
      <x:c r="N30" s="27" t="str">
        <x:v>2005-01-21</x:v>
      </x:c>
      <x:c r="O30" s="27" t="str">
        <x:v>2026-07-31</x:v>
      </x:c>
      <x:c r="P30" s="27" t="str">
        <x:v>持续更新</x:v>
      </x:c>
      <x:c r="Q30" s="27" t="str"/>
      <x:c r="R30" s="28" t="str"/>
    </x:row>
    <x:row r="31" ht="48" customHeight="1">
      <x:c r="A31" s="27" t="str">
        <x:v>801010</x:v>
      </x:c>
      <x:c r="B31" s="27" t="str">
        <x:v>农林牧渔</x:v>
      </x:c>
      <x:c r="C31" s="27" t="n">
        <x:v>30</x:v>
      </x:c>
      <x:c r="D31" s="27" t="str">
        <x:v>1040001948</x:v>
      </x:c>
      <x:c r="E31" s="28" t="str">
        <x:v>国际期货价格:CBOT:豆粕</x:v>
      </x:c>
      <x:c r="F31" s="28" t="str">
        <x:v>International Futures Prices: Soybean Meal (CBOT)</x:v>
      </x:c>
      <x:c r="G31" s="27" t="str">
        <x:v>周</x:v>
      </x:c>
      <x:c r="H31" s="27" t="str">
        <x:v>美元/短吨</x:v>
      </x:c>
      <x:c r="I31" s="27" t="str">
        <x:v>当期值</x:v>
      </x:c>
      <x:c r="J31" s="27" t="str">
        <x:v>全国</x:v>
      </x:c>
      <x:c r="K31" s="27" t="str">
        <x:v>中国</x:v>
      </x:c>
      <x:c r="L31" s="28" t="str">
        <x:v>商务部</x:v>
      </x:c>
      <x:c r="M31" s="28" t="str">
        <x:v>getEcoDataChina</x:v>
      </x:c>
      <x:c r="N31" s="27" t="str">
        <x:v>2005-01-21</x:v>
      </x:c>
      <x:c r="O31" s="27" t="str">
        <x:v>2026-07-31</x:v>
      </x:c>
      <x:c r="P31" s="27" t="str">
        <x:v>持续更新</x:v>
      </x:c>
      <x:c r="Q31" s="27" t="str"/>
      <x:c r="R31" s="28" t="str"/>
    </x:row>
    <x:row r="32" ht="48" customHeight="1">
      <x:c r="A32" s="27" t="str">
        <x:v>801030</x:v>
      </x:c>
      <x:c r="B32" s="27" t="str">
        <x:v>基础化工</x:v>
      </x:c>
      <x:c r="C32" s="27" t="n">
        <x:v>1</x:v>
      </x:c>
      <x:c r="D32" s="27" t="str">
        <x:v>2030019739</x:v>
      </x:c>
      <x:c r="E32" s="28" t="str">
        <x:v>中国塑料城价格指数:聚丙烯(PP)</x:v>
      </x:c>
      <x:c r="F32" s="28" t="str">
        <x:v>China Plastics City Price Index: Polypropylene (PP)</x:v>
      </x:c>
      <x:c r="G32" s="27" t="str">
        <x:v>日</x:v>
      </x:c>
      <x:c r="H32" s="27" t="str">
        <x:v>点</x:v>
      </x:c>
      <x:c r="I32" s="27" t="str">
        <x:v>当期值</x:v>
      </x:c>
      <x:c r="J32" s="27" t="str">
        <x:v>全国</x:v>
      </x:c>
      <x:c r="K32" s="27" t="str">
        <x:v>中国</x:v>
      </x:c>
      <x:c r="L32" s="28" t="str">
        <x:v>中塑在线</x:v>
      </x:c>
      <x:c r="M32" s="28" t="str">
        <x:v>getEcoDataIndChemical</x:v>
      </x:c>
      <x:c r="N32" s="27" t="str">
        <x:v>2010-01-04</x:v>
      </x:c>
      <x:c r="O32" s="27" t="str">
        <x:v>2026-08-07</x:v>
      </x:c>
      <x:c r="P32" s="27" t="str">
        <x:v>持续更新</x:v>
      </x:c>
      <x:c r="Q32" s="27" t="str"/>
      <x:c r="R32" s="28" t="str"/>
    </x:row>
    <x:row r="33" ht="48" customHeight="1">
      <x:c r="A33" s="27" t="str">
        <x:v>801030</x:v>
      </x:c>
      <x:c r="B33" s="27" t="str">
        <x:v>基础化工</x:v>
      </x:c>
      <x:c r="C33" s="27" t="n">
        <x:v>2</x:v>
      </x:c>
      <x:c r="D33" s="27" t="str">
        <x:v>2030019742</x:v>
      </x:c>
      <x:c r="E33" s="28" t="str">
        <x:v>中国塑料城价格指数:聚乙烯(PE)</x:v>
      </x:c>
      <x:c r="F33" s="28" t="str">
        <x:v>China Plastics City Price Index: Polyethylene (PE)</x:v>
      </x:c>
      <x:c r="G33" s="27" t="str">
        <x:v>日</x:v>
      </x:c>
      <x:c r="H33" s="27" t="str">
        <x:v>点</x:v>
      </x:c>
      <x:c r="I33" s="27" t="str">
        <x:v>当期值</x:v>
      </x:c>
      <x:c r="J33" s="27" t="str">
        <x:v>全国</x:v>
      </x:c>
      <x:c r="K33" s="27" t="str">
        <x:v>中国</x:v>
      </x:c>
      <x:c r="L33" s="28" t="str">
        <x:v>中塑在线</x:v>
      </x:c>
      <x:c r="M33" s="28" t="str">
        <x:v>getEcoDataIndChemical</x:v>
      </x:c>
      <x:c r="N33" s="27" t="str">
        <x:v>2010-01-04</x:v>
      </x:c>
      <x:c r="O33" s="27" t="str">
        <x:v>2026-08-07</x:v>
      </x:c>
      <x:c r="P33" s="27" t="str">
        <x:v>持续更新</x:v>
      </x:c>
      <x:c r="Q33" s="27" t="str"/>
      <x:c r="R33" s="28" t="str"/>
    </x:row>
    <x:row r="34" ht="48" customHeight="1">
      <x:c r="A34" s="27" t="str">
        <x:v>801030</x:v>
      </x:c>
      <x:c r="B34" s="27" t="str">
        <x:v>基础化工</x:v>
      </x:c>
      <x:c r="C34" s="27" t="n">
        <x:v>3</x:v>
      </x:c>
      <x:c r="D34" s="27" t="str">
        <x:v>1040015380</x:v>
      </x:c>
      <x:c r="E34" s="28" t="str">
        <x:v>生产资料价格:化肥:尿素:周环比</x:v>
      </x:c>
      <x:c r="F34" s="28" t="str">
        <x:v>Spot Price: Chemical Fertilizer: Urea: WoW</x:v>
      </x:c>
      <x:c r="G34" s="27" t="str">
        <x:v>周</x:v>
      </x:c>
      <x:c r="H34" s="27" t="str">
        <x:v>%</x:v>
      </x:c>
      <x:c r="I34" s="27" t="str">
        <x:v>当期环比</x:v>
      </x:c>
      <x:c r="J34" s="27" t="str">
        <x:v>全国</x:v>
      </x:c>
      <x:c r="K34" s="27" t="str">
        <x:v>中国</x:v>
      </x:c>
      <x:c r="L34" s="28" t="str">
        <x:v>商务部</x:v>
      </x:c>
      <x:c r="M34" s="28" t="str">
        <x:v>getEcoDataChina</x:v>
      </x:c>
      <x:c r="N34" s="27" t="str">
        <x:v>2017-03-19</x:v>
      </x:c>
      <x:c r="O34" s="27" t="str">
        <x:v>2026-08-02</x:v>
      </x:c>
      <x:c r="P34" s="27" t="str">
        <x:v>持续更新</x:v>
      </x:c>
      <x:c r="Q34" s="27" t="str"/>
      <x:c r="R34" s="28" t="str"/>
    </x:row>
    <x:row r="35" ht="48" customHeight="1">
      <x:c r="A35" s="27" t="str">
        <x:v>801030</x:v>
      </x:c>
      <x:c r="B35" s="27" t="str">
        <x:v>基础化工</x:v>
      </x:c>
      <x:c r="C35" s="27" t="n">
        <x:v>4</x:v>
      </x:c>
      <x:c r="D35" s="27" t="str">
        <x:v>1040001999</x:v>
      </x:c>
      <x:c r="E35" s="28" t="str">
        <x:v>国内现货价格:国产尿素</x:v>
      </x:c>
      <x:c r="F35" s="28" t="str">
        <x:v>Domestic Spot Price: Domestic Urea</x:v>
      </x:c>
      <x:c r="G35" s="27" t="str">
        <x:v>周</x:v>
      </x:c>
      <x:c r="H35" s="27" t="str">
        <x:v>元/吨</x:v>
      </x:c>
      <x:c r="I35" s="27" t="str">
        <x:v>当期值</x:v>
      </x:c>
      <x:c r="J35" s="27" t="str">
        <x:v>全国</x:v>
      </x:c>
      <x:c r="K35" s="27" t="str">
        <x:v>中国</x:v>
      </x:c>
      <x:c r="L35" s="28" t="str">
        <x:v>商务部</x:v>
      </x:c>
      <x:c r="M35" s="28" t="str">
        <x:v>getEcoDataChina</x:v>
      </x:c>
      <x:c r="N35" s="27" t="str">
        <x:v>2003-07-01</x:v>
      </x:c>
      <x:c r="O35" s="27" t="str">
        <x:v>2026-07-31</x:v>
      </x:c>
      <x:c r="P35" s="27" t="str">
        <x:v>持续更新</x:v>
      </x:c>
      <x:c r="Q35" s="27" t="str"/>
      <x:c r="R35" s="28" t="str"/>
    </x:row>
    <x:row r="36" ht="48" customHeight="1">
      <x:c r="A36" s="27" t="str">
        <x:v>801030</x:v>
      </x:c>
      <x:c r="B36" s="27" t="str">
        <x:v>基础化工</x:v>
      </x:c>
      <x:c r="C36" s="27" t="n">
        <x:v>5</x:v>
      </x:c>
      <x:c r="D36" s="27" t="str">
        <x:v>1040005412</x:v>
      </x:c>
      <x:c r="E36" s="28" t="str">
        <x:v>生产资料价格:化工产品:聚氯乙烯:电石法生产:当月值</x:v>
      </x:c>
      <x:c r="F36" s="28" t="str">
        <x:v>Price of Means of Production: Chemical Products: PVC: Calcium Carbide Production: Current</x:v>
      </x:c>
      <x:c r="G36" s="27" t="str">
        <x:v>月</x:v>
      </x:c>
      <x:c r="H36" s="27" t="str">
        <x:v>元/吨</x:v>
      </x:c>
      <x:c r="I36" s="27" t="str">
        <x:v>当期值</x:v>
      </x:c>
      <x:c r="J36" s="27" t="str">
        <x:v>全国</x:v>
      </x:c>
      <x:c r="K36" s="27" t="str">
        <x:v>中国</x:v>
      </x:c>
      <x:c r="L36" s="28" t="str">
        <x:v>发改委</x:v>
      </x:c>
      <x:c r="M36" s="28" t="str">
        <x:v>getEcoDataChina</x:v>
      </x:c>
      <x:c r="N36" s="27" t="str">
        <x:v>2015-05-31</x:v>
      </x:c>
      <x:c r="O36" s="27" t="str">
        <x:v>2026-06-30</x:v>
      </x:c>
      <x:c r="P36" s="27" t="str">
        <x:v>持续更新</x:v>
      </x:c>
      <x:c r="Q36" s="27" t="str"/>
      <x:c r="R36" s="28" t="str"/>
    </x:row>
    <x:row r="37" ht="48" customHeight="1">
      <x:c r="A37" s="27" t="str">
        <x:v>801030</x:v>
      </x:c>
      <x:c r="B37" s="27" t="str">
        <x:v>基础化工</x:v>
      </x:c>
      <x:c r="C37" s="27" t="n">
        <x:v>6</x:v>
      </x:c>
      <x:c r="D37" s="27" t="str">
        <x:v>1040024019</x:v>
      </x:c>
      <x:c r="E37" s="28" t="str">
        <x:v>生产资料价格:基础化学:聚丙烯:周环比</x:v>
      </x:c>
      <x:c r="F37" s="28" t="str"/>
      <x:c r="G37" s="27" t="str">
        <x:v>周</x:v>
      </x:c>
      <x:c r="H37" s="27" t="str">
        <x:v>%</x:v>
      </x:c>
      <x:c r="I37" s="27" t="str">
        <x:v>当期环比</x:v>
      </x:c>
      <x:c r="J37" s="27" t="str">
        <x:v>全国</x:v>
      </x:c>
      <x:c r="K37" s="27" t="str">
        <x:v>中国</x:v>
      </x:c>
      <x:c r="L37" s="28" t="str">
        <x:v>商务部</x:v>
      </x:c>
      <x:c r="M37" s="28" t="str">
        <x:v>getEcoDataChina</x:v>
      </x:c>
      <x:c r="N37" s="27" t="str">
        <x:v>2006-09-01</x:v>
      </x:c>
      <x:c r="O37" s="27" t="str">
        <x:v>2026-07-31</x:v>
      </x:c>
      <x:c r="P37" s="27" t="str">
        <x:v>持续更新</x:v>
      </x:c>
      <x:c r="Q37" s="27" t="str"/>
      <x:c r="R37" s="28" t="str"/>
    </x:row>
    <x:row r="38" ht="48" customHeight="1">
      <x:c r="A38" s="27" t="str">
        <x:v>801030</x:v>
      </x:c>
      <x:c r="B38" s="27" t="str">
        <x:v>基础化工</x:v>
      </x:c>
      <x:c r="C38" s="27" t="n">
        <x:v>7</x:v>
      </x:c>
      <x:c r="D38" s="27" t="str">
        <x:v>1040015375</x:v>
      </x:c>
      <x:c r="E38" s="28" t="str">
        <x:v>生产资料价格:基础化学原料:甲醇:周环比</x:v>
      </x:c>
      <x:c r="F38" s="28" t="str">
        <x:v>Spot Price: Basic Chemical Raw Materials: Methanol: WoW</x:v>
      </x:c>
      <x:c r="G38" s="27" t="str">
        <x:v>周</x:v>
      </x:c>
      <x:c r="H38" s="27" t="str">
        <x:v>%</x:v>
      </x:c>
      <x:c r="I38" s="27" t="str">
        <x:v>当期环比</x:v>
      </x:c>
      <x:c r="J38" s="27" t="str">
        <x:v>全国</x:v>
      </x:c>
      <x:c r="K38" s="27" t="str">
        <x:v>中国</x:v>
      </x:c>
      <x:c r="L38" s="28" t="str">
        <x:v>商务部</x:v>
      </x:c>
      <x:c r="M38" s="28" t="str">
        <x:v>getEcoDataChina</x:v>
      </x:c>
      <x:c r="N38" s="27" t="str">
        <x:v>2017-03-19</x:v>
      </x:c>
      <x:c r="O38" s="27" t="str">
        <x:v>2026-08-02</x:v>
      </x:c>
      <x:c r="P38" s="27" t="str">
        <x:v>持续更新</x:v>
      </x:c>
      <x:c r="Q38" s="27" t="str"/>
      <x:c r="R38" s="28" t="str"/>
    </x:row>
    <x:row r="39" ht="48" customHeight="1">
      <x:c r="A39" s="27" t="str">
        <x:v>801030</x:v>
      </x:c>
      <x:c r="B39" s="27" t="str">
        <x:v>基础化工</x:v>
      </x:c>
      <x:c r="C39" s="27" t="n">
        <x:v>8</x:v>
      </x:c>
      <x:c r="D39" s="27" t="str">
        <x:v>1040015378</x:v>
      </x:c>
      <x:c r="E39" s="28" t="str">
        <x:v>生产资料价格:基础化学原料:纯碱:周环比</x:v>
      </x:c>
      <x:c r="F39" s="28" t="str">
        <x:v>Spot Price: Basic Chemical Raw Materials: Soda Ash: WoW</x:v>
      </x:c>
      <x:c r="G39" s="27" t="str">
        <x:v>周</x:v>
      </x:c>
      <x:c r="H39" s="27" t="str">
        <x:v>%</x:v>
      </x:c>
      <x:c r="I39" s="27" t="str">
        <x:v>当期环比</x:v>
      </x:c>
      <x:c r="J39" s="27" t="str">
        <x:v>全国</x:v>
      </x:c>
      <x:c r="K39" s="27" t="str">
        <x:v>中国</x:v>
      </x:c>
      <x:c r="L39" s="28" t="str">
        <x:v>商务部</x:v>
      </x:c>
      <x:c r="M39" s="28" t="str">
        <x:v>getEcoDataChina</x:v>
      </x:c>
      <x:c r="N39" s="27" t="str">
        <x:v>2017-03-19</x:v>
      </x:c>
      <x:c r="O39" s="27" t="str">
        <x:v>2026-08-02</x:v>
      </x:c>
      <x:c r="P39" s="27" t="str">
        <x:v>持续更新</x:v>
      </x:c>
      <x:c r="Q39" s="27" t="str"/>
      <x:c r="R39" s="28" t="str"/>
    </x:row>
    <x:row r="40" ht="48" customHeight="1">
      <x:c r="A40" s="27" t="str">
        <x:v>801030</x:v>
      </x:c>
      <x:c r="B40" s="27" t="str">
        <x:v>基础化工</x:v>
      </x:c>
      <x:c r="C40" s="27" t="n">
        <x:v>9</x:v>
      </x:c>
      <x:c r="D40" s="27" t="str">
        <x:v>2030637303</x:v>
      </x:c>
      <x:c r="E40" s="28" t="str">
        <x:v>中价柴达木纯碱价格指数(CSI)价格指数:全国轻质纯碱:定基</x:v>
      </x:c>
      <x:c r="F40" s="28" t="str">
        <x:v>Mid-Price Qaidam Soda Ash Price Index (CSI) Price Index: National Light Soda Ash: Fixed Base Index</x:v>
      </x:c>
      <x:c r="G40" s="27" t="str">
        <x:v>旬</x:v>
      </x:c>
      <x:c r="H40" s="27" t="str">
        <x:v>元/吨</x:v>
      </x:c>
      <x:c r="I40" s="27" t="str">
        <x:v>当期值</x:v>
      </x:c>
      <x:c r="J40" s="27" t="str">
        <x:v>全国</x:v>
      </x:c>
      <x:c r="K40" s="27" t="str">
        <x:v>中国</x:v>
      </x:c>
      <x:c r="L40" s="28" t="str">
        <x:v>发改委</x:v>
      </x:c>
      <x:c r="M40" s="28" t="str">
        <x:v>getEcoDataIndChemical</x:v>
      </x:c>
      <x:c r="N40" s="27" t="str">
        <x:v>2018-04-05</x:v>
      </x:c>
      <x:c r="O40" s="27" t="str">
        <x:v>2026-06-15</x:v>
      </x:c>
      <x:c r="P40" s="27" t="str">
        <x:v>持续更新</x:v>
      </x:c>
      <x:c r="Q40" s="27" t="str"/>
      <x:c r="R40" s="28" t="str"/>
    </x:row>
    <x:row r="41" ht="48" customHeight="1">
      <x:c r="A41" s="27" t="str">
        <x:v>801030</x:v>
      </x:c>
      <x:c r="B41" s="27" t="str">
        <x:v>基础化工</x:v>
      </x:c>
      <x:c r="C41" s="27" t="n">
        <x:v>10</x:v>
      </x:c>
      <x:c r="D41" s="27" t="str">
        <x:v>2030637307</x:v>
      </x:c>
      <x:c r="E41" s="28" t="str">
        <x:v>中价柴达木纯碱价格指数(CSI)价格指数:全国轻质纯碱:环比</x:v>
      </x:c>
      <x:c r="F41" s="28" t="str">
        <x:v>Mid-Price Qaidam Soda Ash Price Index (CSI) Price Index: National Light Soda Ash: Percent Change from Preceding Period</x:v>
      </x:c>
      <x:c r="G41" s="27" t="str">
        <x:v>旬</x:v>
      </x:c>
      <x:c r="H41" s="27" t="str">
        <x:v>%</x:v>
      </x:c>
      <x:c r="I41" s="27" t="str">
        <x:v>环比指数</x:v>
      </x:c>
      <x:c r="J41" s="27" t="str">
        <x:v>全国</x:v>
      </x:c>
      <x:c r="K41" s="27" t="str">
        <x:v>中国</x:v>
      </x:c>
      <x:c r="L41" s="28" t="str">
        <x:v>发改委</x:v>
      </x:c>
      <x:c r="M41" s="28" t="str">
        <x:v>getEcoDataIndChemical</x:v>
      </x:c>
      <x:c r="N41" s="27" t="str">
        <x:v>2018-04-15</x:v>
      </x:c>
      <x:c r="O41" s="27" t="str">
        <x:v>2026-06-15</x:v>
      </x:c>
      <x:c r="P41" s="27" t="str">
        <x:v>持续更新</x:v>
      </x:c>
      <x:c r="Q41" s="27" t="str"/>
      <x:c r="R41" s="28" t="str"/>
    </x:row>
    <x:row r="42" ht="48" customHeight="1">
      <x:c r="A42" s="27" t="str">
        <x:v>801030</x:v>
      </x:c>
      <x:c r="B42" s="27" t="str">
        <x:v>基础化工</x:v>
      </x:c>
      <x:c r="C42" s="27" t="n">
        <x:v>11</x:v>
      </x:c>
      <x:c r="D42" s="27" t="str">
        <x:v>2030637302</x:v>
      </x:c>
      <x:c r="E42" s="28" t="str">
        <x:v>中价柴达木纯碱价格指数(CSI)价格指数:全国重质纯碱:定基</x:v>
      </x:c>
      <x:c r="F42" s="28" t="str">
        <x:v>Mid-Price Qaidam Soda Ash Price Index (CSI) Price Index: National Heavy Soda Ash: Fixed Base Index</x:v>
      </x:c>
      <x:c r="G42" s="27" t="str">
        <x:v>旬</x:v>
      </x:c>
      <x:c r="H42" s="27" t="str">
        <x:v>元/吨</x:v>
      </x:c>
      <x:c r="I42" s="27" t="str">
        <x:v>当期值</x:v>
      </x:c>
      <x:c r="J42" s="27" t="str">
        <x:v>全国</x:v>
      </x:c>
      <x:c r="K42" s="27" t="str">
        <x:v>中国</x:v>
      </x:c>
      <x:c r="L42" s="28" t="str">
        <x:v>发改委</x:v>
      </x:c>
      <x:c r="M42" s="28" t="str">
        <x:v>getEcoDataIndChemical</x:v>
      </x:c>
      <x:c r="N42" s="27" t="str">
        <x:v>2018-04-05</x:v>
      </x:c>
      <x:c r="O42" s="27" t="str">
        <x:v>2026-06-15</x:v>
      </x:c>
      <x:c r="P42" s="27" t="str">
        <x:v>持续更新</x:v>
      </x:c>
      <x:c r="Q42" s="27" t="str"/>
      <x:c r="R42" s="28" t="str"/>
    </x:row>
    <x:row r="43" ht="48" customHeight="1">
      <x:c r="A43" s="27" t="str">
        <x:v>801030</x:v>
      </x:c>
      <x:c r="B43" s="27" t="str">
        <x:v>基础化工</x:v>
      </x:c>
      <x:c r="C43" s="27" t="n">
        <x:v>12</x:v>
      </x:c>
      <x:c r="D43" s="27" t="str">
        <x:v>2030637306</x:v>
      </x:c>
      <x:c r="E43" s="28" t="str">
        <x:v>中价柴达木纯碱价格指数(CSI)价格指数:全国重质纯碱:环比</x:v>
      </x:c>
      <x:c r="F43" s="28" t="str">
        <x:v>Mid-Price Qaidam Soda Ash Price Index (CSI) Price Index: National Heavy Soda Ash: Percent Change from Preceding Period</x:v>
      </x:c>
      <x:c r="G43" s="27" t="str">
        <x:v>旬</x:v>
      </x:c>
      <x:c r="H43" s="27" t="str">
        <x:v>%</x:v>
      </x:c>
      <x:c r="I43" s="27" t="str">
        <x:v>环比指数</x:v>
      </x:c>
      <x:c r="J43" s="27" t="str">
        <x:v>全国</x:v>
      </x:c>
      <x:c r="K43" s="27" t="str">
        <x:v>中国</x:v>
      </x:c>
      <x:c r="L43" s="28" t="str">
        <x:v>发改委</x:v>
      </x:c>
      <x:c r="M43" s="28" t="str">
        <x:v>getEcoDataIndChemical</x:v>
      </x:c>
      <x:c r="N43" s="27" t="str">
        <x:v>2018-04-15</x:v>
      </x:c>
      <x:c r="O43" s="27" t="str">
        <x:v>2026-06-15</x:v>
      </x:c>
      <x:c r="P43" s="27" t="str">
        <x:v>持续更新</x:v>
      </x:c>
      <x:c r="Q43" s="27" t="str"/>
      <x:c r="R43" s="28" t="str"/>
    </x:row>
    <x:row r="44" ht="48" customHeight="1">
      <x:c r="A44" s="27" t="str">
        <x:v>801030</x:v>
      </x:c>
      <x:c r="B44" s="27" t="str">
        <x:v>基础化工</x:v>
      </x:c>
      <x:c r="C44" s="27" t="n">
        <x:v>13</x:v>
      </x:c>
      <x:c r="D44" s="27" t="str">
        <x:v>1040005421</x:v>
      </x:c>
      <x:c r="E44" s="28" t="str">
        <x:v>生产资料价格:化工产品:烧碱:液碱(离子膜法)含量≥30%:当月值</x:v>
      </x:c>
      <x:c r="F44" s="28" t="str">
        <x:v>Price of Means of Production: Chemical Products: Caustic Soda: Caustic Soda Liquid (Ion-exchange Membrane Process) Content of ≥30%: Current</x:v>
      </x:c>
      <x:c r="G44" s="27" t="str">
        <x:v>月</x:v>
      </x:c>
      <x:c r="H44" s="27" t="str">
        <x:v>元/吨</x:v>
      </x:c>
      <x:c r="I44" s="27" t="str">
        <x:v>当期值</x:v>
      </x:c>
      <x:c r="J44" s="27" t="str">
        <x:v>全国</x:v>
      </x:c>
      <x:c r="K44" s="27" t="str">
        <x:v>中国</x:v>
      </x:c>
      <x:c r="L44" s="28" t="str">
        <x:v>发改委</x:v>
      </x:c>
      <x:c r="M44" s="28" t="str">
        <x:v>getEcoDataChina</x:v>
      </x:c>
      <x:c r="N44" s="27" t="str">
        <x:v>2015-05-31</x:v>
      </x:c>
      <x:c r="O44" s="27" t="str">
        <x:v>2026-06-30</x:v>
      </x:c>
      <x:c r="P44" s="27" t="str">
        <x:v>持续更新</x:v>
      </x:c>
      <x:c r="Q44" s="27" t="str"/>
      <x:c r="R44" s="28" t="str"/>
    </x:row>
    <x:row r="45" ht="48" customHeight="1">
      <x:c r="A45" s="27" t="str">
        <x:v>801030</x:v>
      </x:c>
      <x:c r="B45" s="27" t="str">
        <x:v>基础化工</x:v>
      </x:c>
      <x:c r="C45" s="27" t="n">
        <x:v>14</x:v>
      </x:c>
      <x:c r="D45" s="27" t="str">
        <x:v>1040005406</x:v>
      </x:c>
      <x:c r="E45" s="28" t="str">
        <x:v>生产资料价格:化工产品:甲醇:精甲醇:当月值</x:v>
      </x:c>
      <x:c r="F45" s="28" t="str">
        <x:v>Price of Means of Production: Chemical Products: Methanol: Refined Methanol: Current</x:v>
      </x:c>
      <x:c r="G45" s="27" t="str">
        <x:v>月</x:v>
      </x:c>
      <x:c r="H45" s="27" t="str">
        <x:v>元/吨</x:v>
      </x:c>
      <x:c r="I45" s="27" t="str">
        <x:v>当期值</x:v>
      </x:c>
      <x:c r="J45" s="27" t="str">
        <x:v>全国</x:v>
      </x:c>
      <x:c r="K45" s="27" t="str">
        <x:v>中国</x:v>
      </x:c>
      <x:c r="L45" s="28" t="str">
        <x:v>发改委</x:v>
      </x:c>
      <x:c r="M45" s="28" t="str">
        <x:v>getEcoDataChina</x:v>
      </x:c>
      <x:c r="N45" s="27" t="str">
        <x:v>2015-05-31</x:v>
      </x:c>
      <x:c r="O45" s="27" t="str">
        <x:v>2026-06-30</x:v>
      </x:c>
      <x:c r="P45" s="27" t="str">
        <x:v>持续更新</x:v>
      </x:c>
      <x:c r="Q45" s="27" t="str"/>
      <x:c r="R45" s="28" t="str"/>
    </x:row>
    <x:row r="46" ht="48" customHeight="1">
      <x:c r="A46" s="27" t="str">
        <x:v>801030</x:v>
      </x:c>
      <x:c r="B46" s="27" t="str">
        <x:v>基础化工</x:v>
      </x:c>
      <x:c r="C46" s="27" t="n">
        <x:v>15</x:v>
      </x:c>
      <x:c r="D46" s="27" t="str">
        <x:v>1040005427</x:v>
      </x:c>
      <x:c r="E46" s="28" t="str">
        <x:v>生产资料价格:化工产品:线性低压聚乙烯:注塑级:当月值</x:v>
      </x:c>
      <x:c r="F46" s="28" t="str">
        <x:v>Price of Means of Production: Chemical Products: Linear Low-pressure Polyethylene: Injection Molding Grade: Current</x:v>
      </x:c>
      <x:c r="G46" s="27" t="str">
        <x:v>月</x:v>
      </x:c>
      <x:c r="H46" s="27" t="str">
        <x:v>元/吨</x:v>
      </x:c>
      <x:c r="I46" s="27" t="str">
        <x:v>当期值</x:v>
      </x:c>
      <x:c r="J46" s="27" t="str">
        <x:v>全国</x:v>
      </x:c>
      <x:c r="K46" s="27" t="str">
        <x:v>中国</x:v>
      </x:c>
      <x:c r="L46" s="28" t="str">
        <x:v>发改委</x:v>
      </x:c>
      <x:c r="M46" s="28" t="str">
        <x:v>getEcoDataChina</x:v>
      </x:c>
      <x:c r="N46" s="27" t="str">
        <x:v>2015-05-31</x:v>
      </x:c>
      <x:c r="O46" s="27" t="str">
        <x:v>2026-06-30</x:v>
      </x:c>
      <x:c r="P46" s="27" t="str">
        <x:v>持续更新</x:v>
      </x:c>
      <x:c r="Q46" s="27" t="str"/>
      <x:c r="R46" s="28" t="str"/>
    </x:row>
    <x:row r="47" ht="48" customHeight="1">
      <x:c r="A47" s="27" t="str">
        <x:v>801030</x:v>
      </x:c>
      <x:c r="B47" s="27" t="str">
        <x:v>基础化工</x:v>
      </x:c>
      <x:c r="C47" s="27" t="n">
        <x:v>16</x:v>
      </x:c>
      <x:c r="D47" s="27" t="str">
        <x:v>1040005409</x:v>
      </x:c>
      <x:c r="E47" s="28" t="str">
        <x:v>生产资料价格:化工产品:聚丙烯:拉丝:当月值</x:v>
      </x:c>
      <x:c r="F47" s="28" t="str">
        <x:v>Price of Means of Production: Chemical Products: Polypropylene: Drawing: Current</x:v>
      </x:c>
      <x:c r="G47" s="27" t="str">
        <x:v>月</x:v>
      </x:c>
      <x:c r="H47" s="27" t="str">
        <x:v>元/吨</x:v>
      </x:c>
      <x:c r="I47" s="27" t="str">
        <x:v>当期值</x:v>
      </x:c>
      <x:c r="J47" s="27" t="str">
        <x:v>全国</x:v>
      </x:c>
      <x:c r="K47" s="27" t="str">
        <x:v>中国</x:v>
      </x:c>
      <x:c r="L47" s="28" t="str">
        <x:v>发改委</x:v>
      </x:c>
      <x:c r="M47" s="28" t="str">
        <x:v>getEcoDataChina</x:v>
      </x:c>
      <x:c r="N47" s="27" t="str">
        <x:v>2015-05-31</x:v>
      </x:c>
      <x:c r="O47" s="27" t="str">
        <x:v>2026-06-30</x:v>
      </x:c>
      <x:c r="P47" s="27" t="str">
        <x:v>持续更新</x:v>
      </x:c>
      <x:c r="Q47" s="27" t="str"/>
      <x:c r="R47" s="28" t="str"/>
    </x:row>
    <x:row r="48" ht="48" customHeight="1">
      <x:c r="A48" s="27" t="str">
        <x:v>801030</x:v>
      </x:c>
      <x:c r="B48" s="27" t="str">
        <x:v>基础化工</x:v>
      </x:c>
      <x:c r="C48" s="27" t="n">
        <x:v>17</x:v>
      </x:c>
      <x:c r="D48" s="27" t="str">
        <x:v>1040005400</x:v>
      </x:c>
      <x:c r="E48" s="28" t="str">
        <x:v>生产资料价格:化工产品:高压聚乙烯:薄膜级:当月值</x:v>
      </x:c>
      <x:c r="F48" s="28" t="str">
        <x:v>Price of Means of Production: Chemical Products: High-pressure Polyethylene: Film Grade: Current</x:v>
      </x:c>
      <x:c r="G48" s="27" t="str">
        <x:v>月</x:v>
      </x:c>
      <x:c r="H48" s="27" t="str">
        <x:v>元/吨</x:v>
      </x:c>
      <x:c r="I48" s="27" t="str">
        <x:v>当期值</x:v>
      </x:c>
      <x:c r="J48" s="27" t="str">
        <x:v>全国</x:v>
      </x:c>
      <x:c r="K48" s="27" t="str">
        <x:v>中国</x:v>
      </x:c>
      <x:c r="L48" s="28" t="str">
        <x:v>发改委</x:v>
      </x:c>
      <x:c r="M48" s="28" t="str">
        <x:v>getEcoDataChina</x:v>
      </x:c>
      <x:c r="N48" s="27" t="str">
        <x:v>2015-05-31</x:v>
      </x:c>
      <x:c r="O48" s="27" t="str">
        <x:v>2026-06-30</x:v>
      </x:c>
      <x:c r="P48" s="27" t="str">
        <x:v>持续更新</x:v>
      </x:c>
      <x:c r="Q48" s="27" t="str"/>
      <x:c r="R48" s="28" t="str"/>
    </x:row>
    <x:row r="49" ht="48" customHeight="1">
      <x:c r="A49" s="27" t="str">
        <x:v>801030</x:v>
      </x:c>
      <x:c r="B49" s="27" t="str">
        <x:v>基础化工</x:v>
      </x:c>
      <x:c r="C49" s="27" t="n">
        <x:v>18</x:v>
      </x:c>
      <x:c r="D49" s="27" t="str">
        <x:v>2030728548</x:v>
      </x:c>
      <x:c r="E49" s="28" t="str">
        <x:v>中国农药价格指数:农药</x:v>
      </x:c>
      <x:c r="F49" s="28" t="str">
        <x:v>China Pesticide Price index(CAPI): Pesticide</x:v>
      </x:c>
      <x:c r="G49" s="27" t="str">
        <x:v>月</x:v>
      </x:c>
      <x:c r="H49" s="27" t="str"/>
      <x:c r="I49" s="27" t="str">
        <x:v>当期值</x:v>
      </x:c>
      <x:c r="J49" s="27" t="str">
        <x:v>全国</x:v>
      </x:c>
      <x:c r="K49" s="27" t="str">
        <x:v>中国</x:v>
      </x:c>
      <x:c r="L49" s="28" t="str">
        <x:v>农药资讯网</x:v>
      </x:c>
      <x:c r="M49" s="28" t="str">
        <x:v>getEcoDataIndChemical</x:v>
      </x:c>
      <x:c r="N49" s="27" t="str">
        <x:v>2013-12-31</x:v>
      </x:c>
      <x:c r="O49" s="27" t="str">
        <x:v>2026-06-30</x:v>
      </x:c>
      <x:c r="P49" s="27" t="str">
        <x:v>持续更新</x:v>
      </x:c>
      <x:c r="Q49" s="27" t="str"/>
      <x:c r="R49" s="28" t="str"/>
    </x:row>
    <x:row r="50" ht="48" customHeight="1">
      <x:c r="A50" s="27" t="str">
        <x:v>801030</x:v>
      </x:c>
      <x:c r="B50" s="27" t="str">
        <x:v>基础化工</x:v>
      </x:c>
      <x:c r="C50" s="27" t="n">
        <x:v>19</x:v>
      </x:c>
      <x:c r="D50" s="27" t="str">
        <x:v>2030728551</x:v>
      </x:c>
      <x:c r="E50" s="28" t="str">
        <x:v>中国农药价格指数:杀菌剂</x:v>
      </x:c>
      <x:c r="F50" s="28" t="str">
        <x:v>China Pesticide Price index(CAPI): Fungicide</x:v>
      </x:c>
      <x:c r="G50" s="27" t="str">
        <x:v>月</x:v>
      </x:c>
      <x:c r="H50" s="27" t="str"/>
      <x:c r="I50" s="27" t="str">
        <x:v>当期值</x:v>
      </x:c>
      <x:c r="J50" s="27" t="str">
        <x:v>全国</x:v>
      </x:c>
      <x:c r="K50" s="27" t="str">
        <x:v>中国</x:v>
      </x:c>
      <x:c r="L50" s="28" t="str">
        <x:v>农药资讯网</x:v>
      </x:c>
      <x:c r="M50" s="28" t="str">
        <x:v>getEcoDataIndChemical</x:v>
      </x:c>
      <x:c r="N50" s="27" t="str">
        <x:v>2013-12-31</x:v>
      </x:c>
      <x:c r="O50" s="27" t="str">
        <x:v>2026-06-30</x:v>
      </x:c>
      <x:c r="P50" s="27" t="str">
        <x:v>持续更新</x:v>
      </x:c>
      <x:c r="Q50" s="27" t="str"/>
      <x:c r="R50" s="28" t="str"/>
    </x:row>
    <x:row r="51" ht="48" customHeight="1">
      <x:c r="A51" s="27" t="str">
        <x:v>801030</x:v>
      </x:c>
      <x:c r="B51" s="27" t="str">
        <x:v>基础化工</x:v>
      </x:c>
      <x:c r="C51" s="27" t="n">
        <x:v>20</x:v>
      </x:c>
      <x:c r="D51" s="27" t="str">
        <x:v>2030728550</x:v>
      </x:c>
      <x:c r="E51" s="28" t="str">
        <x:v>中国农药价格指数:杀虫剂</x:v>
      </x:c>
      <x:c r="F51" s="28" t="str">
        <x:v>China Pesticide Price index(CAPI): Insecticide</x:v>
      </x:c>
      <x:c r="G51" s="27" t="str">
        <x:v>月</x:v>
      </x:c>
      <x:c r="H51" s="27" t="str"/>
      <x:c r="I51" s="27" t="str">
        <x:v>当期值</x:v>
      </x:c>
      <x:c r="J51" s="27" t="str">
        <x:v>全国</x:v>
      </x:c>
      <x:c r="K51" s="27" t="str">
        <x:v>中国</x:v>
      </x:c>
      <x:c r="L51" s="28" t="str">
        <x:v>农药资讯网</x:v>
      </x:c>
      <x:c r="M51" s="28" t="str">
        <x:v>getEcoDataIndChemical</x:v>
      </x:c>
      <x:c r="N51" s="27" t="str">
        <x:v>2013-12-31</x:v>
      </x:c>
      <x:c r="O51" s="27" t="str">
        <x:v>2026-06-30</x:v>
      </x:c>
      <x:c r="P51" s="27" t="str">
        <x:v>持续更新</x:v>
      </x:c>
      <x:c r="Q51" s="27" t="str"/>
      <x:c r="R51" s="28" t="str"/>
    </x:row>
    <x:row r="52" ht="48" customHeight="1">
      <x:c r="A52" s="27" t="str">
        <x:v>801030</x:v>
      </x:c>
      <x:c r="B52" s="27" t="str">
        <x:v>基础化工</x:v>
      </x:c>
      <x:c r="C52" s="27" t="n">
        <x:v>21</x:v>
      </x:c>
      <x:c r="D52" s="27" t="str">
        <x:v>2030728549</x:v>
      </x:c>
      <x:c r="E52" s="28" t="str">
        <x:v>中国农药价格指数:除草剂</x:v>
      </x:c>
      <x:c r="F52" s="28" t="str">
        <x:v>China Pesticide Price index(CAPI): Herbicide</x:v>
      </x:c>
      <x:c r="G52" s="27" t="str">
        <x:v>月</x:v>
      </x:c>
      <x:c r="H52" s="27" t="str"/>
      <x:c r="I52" s="27" t="str">
        <x:v>当期值</x:v>
      </x:c>
      <x:c r="J52" s="27" t="str">
        <x:v>全国</x:v>
      </x:c>
      <x:c r="K52" s="27" t="str">
        <x:v>中国</x:v>
      </x:c>
      <x:c r="L52" s="28" t="str">
        <x:v>农药资讯网</x:v>
      </x:c>
      <x:c r="M52" s="28" t="str">
        <x:v>getEcoDataIndChemical</x:v>
      </x:c>
      <x:c r="N52" s="27" t="str">
        <x:v>2013-12-31</x:v>
      </x:c>
      <x:c r="O52" s="27" t="str">
        <x:v>2026-06-30</x:v>
      </x:c>
      <x:c r="P52" s="27" t="str">
        <x:v>持续更新</x:v>
      </x:c>
      <x:c r="Q52" s="27" t="str"/>
      <x:c r="R52" s="28" t="str"/>
    </x:row>
    <x:row r="53" ht="48" customHeight="1">
      <x:c r="A53" s="27" t="str">
        <x:v>801030</x:v>
      </x:c>
      <x:c r="B53" s="27" t="str">
        <x:v>基础化工</x:v>
      </x:c>
      <x:c r="C53" s="27" t="n">
        <x:v>22</x:v>
      </x:c>
      <x:c r="D53" s="27" t="str">
        <x:v>1020001555</x:v>
      </x:c>
      <x:c r="E53" s="28" t="str">
        <x:v>产量:氢氧化钠(烧碱)(折100%):当月值</x:v>
      </x:c>
      <x:c r="F53" s="28" t="str">
        <x:v>Output: Sodium Hydroxide (Caustic Soda) (100% Off): Current</x:v>
      </x:c>
      <x:c r="G53" s="27" t="str">
        <x:v>月</x:v>
      </x:c>
      <x:c r="H53" s="27" t="str">
        <x:v>万吨</x:v>
      </x:c>
      <x:c r="I53" s="27" t="str">
        <x:v>当期值</x:v>
      </x:c>
      <x:c r="J53" s="27" t="str">
        <x:v>全国</x:v>
      </x:c>
      <x:c r="K53" s="27" t="str">
        <x:v>中国</x:v>
      </x:c>
      <x:c r="L53" s="28" t="str">
        <x:v>国家统计局</x:v>
      </x:c>
      <x:c r="M53" s="28" t="str">
        <x:v>getEcoDataChina</x:v>
      </x:c>
      <x:c r="N53" s="27" t="str">
        <x:v>1989-02-28</x:v>
      </x:c>
      <x:c r="O53" s="27" t="str">
        <x:v>2026-06-30</x:v>
      </x:c>
      <x:c r="P53" s="27" t="str">
        <x:v>持续更新</x:v>
      </x:c>
      <x:c r="Q53" s="27" t="str"/>
      <x:c r="R53" s="28" t="str"/>
    </x:row>
    <x:row r="54" ht="48" customHeight="1">
      <x:c r="A54" s="27" t="str">
        <x:v>801030</x:v>
      </x:c>
      <x:c r="B54" s="27" t="str">
        <x:v>基础化工</x:v>
      </x:c>
      <x:c r="C54" s="27" t="n">
        <x:v>23</x:v>
      </x:c>
      <x:c r="D54" s="27" t="str">
        <x:v>1020001554</x:v>
      </x:c>
      <x:c r="E54" s="28" t="str">
        <x:v>产量:碳酸钠(纯碱):当月值</x:v>
      </x:c>
      <x:c r="F54" s="28" t="str">
        <x:v>Output: Sodium Carbonate (Soda Ash): Current</x:v>
      </x:c>
      <x:c r="G54" s="27" t="str">
        <x:v>月</x:v>
      </x:c>
      <x:c r="H54" s="27" t="str">
        <x:v>万吨</x:v>
      </x:c>
      <x:c r="I54" s="27" t="str">
        <x:v>当期值</x:v>
      </x:c>
      <x:c r="J54" s="27" t="str">
        <x:v>全国</x:v>
      </x:c>
      <x:c r="K54" s="27" t="str">
        <x:v>中国</x:v>
      </x:c>
      <x:c r="L54" s="28" t="str">
        <x:v>国家统计局</x:v>
      </x:c>
      <x:c r="M54" s="28" t="str">
        <x:v>getEcoDataChina</x:v>
      </x:c>
      <x:c r="N54" s="27" t="str">
        <x:v>1989-02-28</x:v>
      </x:c>
      <x:c r="O54" s="27" t="str">
        <x:v>2026-06-30</x:v>
      </x:c>
      <x:c r="P54" s="27" t="str">
        <x:v>持续更新</x:v>
      </x:c>
      <x:c r="Q54" s="27" t="str"/>
      <x:c r="R54" s="28" t="str"/>
    </x:row>
    <x:row r="55" ht="48" customHeight="1">
      <x:c r="A55" s="27" t="str">
        <x:v>801030</x:v>
      </x:c>
      <x:c r="B55" s="27" t="str">
        <x:v>基础化工</x:v>
      </x:c>
      <x:c r="C55" s="27" t="n">
        <x:v>24</x:v>
      </x:c>
      <x:c r="D55" s="27" t="str">
        <x:v>2030768526</x:v>
      </x:c>
      <x:c r="E55" s="28" t="str">
        <x:v>出口数量:过氧化氢,不论是否用尿素固化(2847):当月值</x:v>
      </x:c>
      <x:c r="F55" s="28" t="str">
        <x:v>Export Quantity: Hydrogen Peroxide, Whether Or Not Cured With Urea(2847): Current Month Value</x:v>
      </x:c>
      <x:c r="G55" s="27" t="str">
        <x:v>月</x:v>
      </x:c>
      <x:c r="H55" s="27" t="str">
        <x:v>千克</x:v>
      </x:c>
      <x:c r="I55" s="27" t="str">
        <x:v>当期值</x:v>
      </x:c>
      <x:c r="J55" s="27" t="str">
        <x:v>中国</x:v>
      </x:c>
      <x:c r="K55" s="27" t="str">
        <x:v>中国</x:v>
      </x:c>
      <x:c r="L55" s="28" t="str">
        <x:v>海关总署</x:v>
      </x:c>
      <x:c r="M55" s="28" t="str">
        <x:v>getEcoDataIndChemical</x:v>
      </x:c>
      <x:c r="N55" s="27" t="str">
        <x:v>2015-01-31</x:v>
      </x:c>
      <x:c r="O55" s="27" t="str">
        <x:v>2026-06-30</x:v>
      </x:c>
      <x:c r="P55" s="27" t="str">
        <x:v>持续更新</x:v>
      </x:c>
      <x:c r="Q55" s="27" t="str"/>
      <x:c r="R55" s="28" t="str"/>
    </x:row>
    <x:row r="56" ht="48" customHeight="1">
      <x:c r="A56" s="27" t="str">
        <x:v>801030</x:v>
      </x:c>
      <x:c r="B56" s="27" t="str">
        <x:v>基础化工</x:v>
      </x:c>
      <x:c r="C56" s="27" t="n">
        <x:v>25</x:v>
      </x:c>
      <x:c r="D56" s="27" t="str">
        <x:v>2030768519</x:v>
      </x:c>
      <x:c r="E56" s="28" t="str">
        <x:v>出口金额(美元):过氧化氢,不论是否用尿素固化(2847):当月值</x:v>
      </x:c>
      <x:c r="F56" s="28" t="str">
        <x:v>Export Value (USD): Hydrogen Peroxide, Whether Or Not Cured With Urea(2847): Current Month Value</x:v>
      </x:c>
      <x:c r="G56" s="27" t="str">
        <x:v>月</x:v>
      </x:c>
      <x:c r="H56" s="27" t="str">
        <x:v>美元</x:v>
      </x:c>
      <x:c r="I56" s="27" t="str">
        <x:v>当期值</x:v>
      </x:c>
      <x:c r="J56" s="27" t="str">
        <x:v>中国</x:v>
      </x:c>
      <x:c r="K56" s="27" t="str">
        <x:v>中国</x:v>
      </x:c>
      <x:c r="L56" s="28" t="str">
        <x:v>海关总署</x:v>
      </x:c>
      <x:c r="M56" s="28" t="str">
        <x:v>getEcoDataIndChemical</x:v>
      </x:c>
      <x:c r="N56" s="27" t="str">
        <x:v>2015-01-31</x:v>
      </x:c>
      <x:c r="O56" s="27" t="str">
        <x:v>2026-06-30</x:v>
      </x:c>
      <x:c r="P56" s="27" t="str">
        <x:v>持续更新</x:v>
      </x:c>
      <x:c r="Q56" s="27" t="str"/>
      <x:c r="R56" s="28" t="str"/>
    </x:row>
    <x:row r="57" ht="48" customHeight="1">
      <x:c r="A57" s="27" t="str">
        <x:v>801030</x:v>
      </x:c>
      <x:c r="B57" s="27" t="str">
        <x:v>基础化工</x:v>
      </x:c>
      <x:c r="C57" s="27" t="n">
        <x:v>26</x:v>
      </x:c>
      <x:c r="D57" s="27" t="str">
        <x:v>1020001557</x:v>
      </x:c>
      <x:c r="E57" s="28" t="str">
        <x:v>化学农药原药(折有效成分100%):产量:当月值</x:v>
      </x:c>
      <x:c r="F57" s="28" t="str">
        <x:v>Output: Chemical Pesticide Original Drug (Active Ingredients 100% Off): Current</x:v>
      </x:c>
      <x:c r="G57" s="27" t="str">
        <x:v>月</x:v>
      </x:c>
      <x:c r="H57" s="27" t="str">
        <x:v>万吨</x:v>
      </x:c>
      <x:c r="I57" s="27" t="str">
        <x:v>当期值</x:v>
      </x:c>
      <x:c r="J57" s="27" t="str">
        <x:v>全国</x:v>
      </x:c>
      <x:c r="K57" s="27" t="str">
        <x:v>中国</x:v>
      </x:c>
      <x:c r="L57" s="28" t="str">
        <x:v>国家统计局</x:v>
      </x:c>
      <x:c r="M57" s="28" t="str">
        <x:v>getEcoDataChina</x:v>
      </x:c>
      <x:c r="N57" s="27" t="str">
        <x:v>1989-02-28</x:v>
      </x:c>
      <x:c r="O57" s="27" t="str">
        <x:v>2026-06-30</x:v>
      </x:c>
      <x:c r="P57" s="27" t="str">
        <x:v>持续更新</x:v>
      </x:c>
      <x:c r="Q57" s="27" t="str"/>
      <x:c r="R57" s="28" t="str"/>
    </x:row>
    <x:row r="58" ht="48" customHeight="1">
      <x:c r="A58" s="27" t="str">
        <x:v>801030</x:v>
      </x:c>
      <x:c r="B58" s="27" t="str">
        <x:v>基础化工</x:v>
      </x:c>
      <x:c r="C58" s="27" t="n">
        <x:v>27</x:v>
      </x:c>
      <x:c r="D58" s="27" t="str">
        <x:v>1040000979</x:v>
      </x:c>
      <x:c r="E58" s="28" t="str">
        <x:v>工业生产者购进价格指数(PPIRM):化工原料类(上年同月=100)</x:v>
      </x:c>
      <x:c r="F58" s="28" t="str">
        <x:v>PPIRM: Chemical Raw Materials (CYoY=100)</x:v>
      </x:c>
      <x:c r="G58" s="27" t="str">
        <x:v>月</x:v>
      </x:c>
      <x:c r="H58" s="27" t="str">
        <x:v>上年同月=100</x:v>
      </x:c>
      <x:c r="I58" s="27" t="str">
        <x:v>当期值</x:v>
      </x:c>
      <x:c r="J58" s="27" t="str">
        <x:v>全国</x:v>
      </x:c>
      <x:c r="K58" s="27" t="str">
        <x:v>中国</x:v>
      </x:c>
      <x:c r="L58" s="28" t="str">
        <x:v>国家统计局</x:v>
      </x:c>
      <x:c r="M58" s="28" t="str">
        <x:v>getEcoDataChina</x:v>
      </x:c>
      <x:c r="N58" s="27" t="str">
        <x:v>1988-03-31</x:v>
      </x:c>
      <x:c r="O58" s="27" t="str">
        <x:v>2026-06-30</x:v>
      </x:c>
      <x:c r="P58" s="27" t="str">
        <x:v>持续更新</x:v>
      </x:c>
      <x:c r="Q58" s="27" t="str"/>
      <x:c r="R58" s="28" t="str"/>
    </x:row>
    <x:row r="59" ht="48" customHeight="1">
      <x:c r="A59" s="27" t="str">
        <x:v>801030</x:v>
      </x:c>
      <x:c r="B59" s="27" t="str">
        <x:v>基础化工</x:v>
      </x:c>
      <x:c r="C59" s="27" t="n">
        <x:v>28</x:v>
      </x:c>
      <x:c r="D59" s="27" t="str">
        <x:v>1040005391</x:v>
      </x:c>
      <x:c r="E59" s="28" t="str">
        <x:v>生产资料价格:化工产品:ABS树脂:通用级:当月值</x:v>
      </x:c>
      <x:c r="F59" s="28" t="str">
        <x:v>Price of Means of Production: Chemical Products: ABS Resin: General Purpose: Current</x:v>
      </x:c>
      <x:c r="G59" s="27" t="str">
        <x:v>月</x:v>
      </x:c>
      <x:c r="H59" s="27" t="str">
        <x:v>元/吨</x:v>
      </x:c>
      <x:c r="I59" s="27" t="str">
        <x:v>当期值</x:v>
      </x:c>
      <x:c r="J59" s="27" t="str">
        <x:v>全国</x:v>
      </x:c>
      <x:c r="K59" s="27" t="str">
        <x:v>中国</x:v>
      </x:c>
      <x:c r="L59" s="28" t="str">
        <x:v>发改委</x:v>
      </x:c>
      <x:c r="M59" s="28" t="str">
        <x:v>getEcoDataChina</x:v>
      </x:c>
      <x:c r="N59" s="27" t="str">
        <x:v>2015-05-31</x:v>
      </x:c>
      <x:c r="O59" s="27" t="str">
        <x:v>2026-06-30</x:v>
      </x:c>
      <x:c r="P59" s="27" t="str">
        <x:v>持续更新</x:v>
      </x:c>
      <x:c r="Q59" s="27" t="str"/>
      <x:c r="R59" s="28" t="str"/>
    </x:row>
    <x:row r="60" ht="48" customHeight="1">
      <x:c r="A60" s="27" t="str">
        <x:v>801030</x:v>
      </x:c>
      <x:c r="B60" s="27" t="str">
        <x:v>基础化工</x:v>
      </x:c>
      <x:c r="C60" s="27" t="n">
        <x:v>29</x:v>
      </x:c>
      <x:c r="D60" s="27" t="str">
        <x:v>1040005433</x:v>
      </x:c>
      <x:c r="E60" s="28" t="str">
        <x:v>生产资料价格:化工产品:乙醇:燃料乙醇:当月值</x:v>
      </x:c>
      <x:c r="F60" s="28" t="str">
        <x:v>Price of Means of Production: Chemical Products: Ethanol: Fuel Ethanol: Current</x:v>
      </x:c>
      <x:c r="G60" s="27" t="str">
        <x:v>月</x:v>
      </x:c>
      <x:c r="H60" s="27" t="str">
        <x:v>元/吨</x:v>
      </x:c>
      <x:c r="I60" s="27" t="str">
        <x:v>当期值</x:v>
      </x:c>
      <x:c r="J60" s="27" t="str">
        <x:v>全国</x:v>
      </x:c>
      <x:c r="K60" s="27" t="str">
        <x:v>中国</x:v>
      </x:c>
      <x:c r="L60" s="28" t="str">
        <x:v>发改委</x:v>
      </x:c>
      <x:c r="M60" s="28" t="str">
        <x:v>getEcoDataChina</x:v>
      </x:c>
      <x:c r="N60" s="27" t="str">
        <x:v>2015-05-31</x:v>
      </x:c>
      <x:c r="O60" s="27" t="str">
        <x:v>2026-06-30</x:v>
      </x:c>
      <x:c r="P60" s="27" t="str">
        <x:v>持续更新</x:v>
      </x:c>
      <x:c r="Q60" s="27" t="str"/>
      <x:c r="R60" s="28" t="str"/>
    </x:row>
    <x:row r="61" ht="48" customHeight="1">
      <x:c r="A61" s="27" t="str">
        <x:v>801030</x:v>
      </x:c>
      <x:c r="B61" s="27" t="str">
        <x:v>基础化工</x:v>
      </x:c>
      <x:c r="C61" s="27" t="n">
        <x:v>30</x:v>
      </x:c>
      <x:c r="D61" s="27" t="str">
        <x:v>1040005397</x:v>
      </x:c>
      <x:c r="E61" s="28" t="str">
        <x:v>生产资料价格:化工产品:二甲苯:含量≥96%:当月值</x:v>
      </x:c>
      <x:c r="F61" s="28" t="str">
        <x:v>Price of Means of Production: Chemical Products: Xylene: Content ≥96%: Current</x:v>
      </x:c>
      <x:c r="G61" s="27" t="str">
        <x:v>月</x:v>
      </x:c>
      <x:c r="H61" s="27" t="str">
        <x:v>元/吨</x:v>
      </x:c>
      <x:c r="I61" s="27" t="str">
        <x:v>当期值</x:v>
      </x:c>
      <x:c r="J61" s="27" t="str">
        <x:v>全国</x:v>
      </x:c>
      <x:c r="K61" s="27" t="str">
        <x:v>中国</x:v>
      </x:c>
      <x:c r="L61" s="28" t="str">
        <x:v>发改委</x:v>
      </x:c>
      <x:c r="M61" s="28" t="str">
        <x:v>getEcoDataChina</x:v>
      </x:c>
      <x:c r="N61" s="27" t="str">
        <x:v>2015-05-31</x:v>
      </x:c>
      <x:c r="O61" s="27" t="str">
        <x:v>2026-06-30</x:v>
      </x:c>
      <x:c r="P61" s="27" t="str">
        <x:v>持续更新</x:v>
      </x:c>
      <x:c r="Q61" s="27" t="str"/>
      <x:c r="R61" s="28" t="str"/>
    </x:row>
    <x:row r="62" ht="48" customHeight="1">
      <x:c r="A62" s="27" t="str">
        <x:v>801040</x:v>
      </x:c>
      <x:c r="B62" s="27" t="str">
        <x:v>钢铁</x:v>
      </x:c>
      <x:c r="C62" s="27" t="n">
        <x:v>1</x:v>
      </x:c>
      <x:c r="D62" s="27" t="str">
        <x:v>2040601002</x:v>
      </x:c>
      <x:c r="E62" s="28" t="str">
        <x:v>特钢指数:相对价格:不锈钢</x:v>
      </x:c>
      <x:c r="F62" s="28" t="str">
        <x:v>Special Steel Index: Relative Price: Stainless Steel</x:v>
      </x:c>
      <x:c r="G62" s="27" t="str">
        <x:v>日</x:v>
      </x:c>
      <x:c r="H62" s="27" t="str">
        <x:v>点</x:v>
      </x:c>
      <x:c r="I62" s="27" t="str">
        <x:v>当期值</x:v>
      </x:c>
      <x:c r="J62" s="27" t="str">
        <x:v>全国</x:v>
      </x:c>
      <x:c r="K62" s="27" t="str">
        <x:v>中国</x:v>
      </x:c>
      <x:c r="L62" s="28" t="str">
        <x:v>我的钢铁网</x:v>
      </x:c>
      <x:c r="M62" s="28" t="str">
        <x:v>getEcoDataIndSteel</x:v>
      </x:c>
      <x:c r="N62" s="27" t="str">
        <x:v>2003-01-01</x:v>
      </x:c>
      <x:c r="O62" s="27" t="str">
        <x:v>2026-08-07</x:v>
      </x:c>
      <x:c r="P62" s="27" t="str">
        <x:v>持续更新</x:v>
      </x:c>
      <x:c r="Q62" s="27" t="str"/>
      <x:c r="R62" s="28" t="str"/>
    </x:row>
    <x:row r="63" ht="48" customHeight="1">
      <x:c r="A63" s="27" t="str">
        <x:v>801040</x:v>
      </x:c>
      <x:c r="B63" s="27" t="str">
        <x:v>钢铁</x:v>
      </x:c>
      <x:c r="C63" s="27" t="n">
        <x:v>2</x:v>
      </x:c>
      <x:c r="D63" s="27" t="str">
        <x:v>2040601004</x:v>
      </x:c>
      <x:c r="E63" s="28" t="str">
        <x:v>钢材指数:相对价格:H型钢</x:v>
      </x:c>
      <x:c r="F63" s="28" t="str">
        <x:v>Steel Index: Relative Price: H-Beam</x:v>
      </x:c>
      <x:c r="G63" s="27" t="str">
        <x:v>日</x:v>
      </x:c>
      <x:c r="H63" s="27" t="str">
        <x:v>点</x:v>
      </x:c>
      <x:c r="I63" s="27" t="str">
        <x:v>当期值</x:v>
      </x:c>
      <x:c r="J63" s="27" t="str">
        <x:v>全国</x:v>
      </x:c>
      <x:c r="K63" s="27" t="str">
        <x:v>中国</x:v>
      </x:c>
      <x:c r="L63" s="28" t="str">
        <x:v>我的钢铁网</x:v>
      </x:c>
      <x:c r="M63" s="28" t="str">
        <x:v>getEcoDataIndSteel</x:v>
      </x:c>
      <x:c r="N63" s="27" t="str">
        <x:v>2015-07-29</x:v>
      </x:c>
      <x:c r="O63" s="27" t="str">
        <x:v>2026-08-07</x:v>
      </x:c>
      <x:c r="P63" s="27" t="str">
        <x:v>持续更新</x:v>
      </x:c>
      <x:c r="Q63" s="27" t="str"/>
      <x:c r="R63" s="28" t="str"/>
    </x:row>
    <x:row r="64" ht="48" customHeight="1">
      <x:c r="A64" s="27" t="str">
        <x:v>801040</x:v>
      </x:c>
      <x:c r="B64" s="27" t="str">
        <x:v>钢铁</x:v>
      </x:c>
      <x:c r="C64" s="27" t="n">
        <x:v>3</x:v>
      </x:c>
      <x:c r="D64" s="27" t="str">
        <x:v>1040024020</x:v>
      </x:c>
      <x:c r="E64" s="28" t="str">
        <x:v>生产资料价格:钢材:热轧带钢:周环比</x:v>
      </x:c>
      <x:c r="F64" s="28" t="str"/>
      <x:c r="G64" s="27" t="str">
        <x:v>周</x:v>
      </x:c>
      <x:c r="H64" s="27" t="str">
        <x:v>%</x:v>
      </x:c>
      <x:c r="I64" s="27" t="str">
        <x:v>当期环比</x:v>
      </x:c>
      <x:c r="J64" s="27" t="str">
        <x:v>全国</x:v>
      </x:c>
      <x:c r="K64" s="27" t="str">
        <x:v>中国</x:v>
      </x:c>
      <x:c r="L64" s="28" t="str">
        <x:v>商务部</x:v>
      </x:c>
      <x:c r="M64" s="28" t="str">
        <x:v>getEcoDataChina</x:v>
      </x:c>
      <x:c r="N64" s="27" t="str">
        <x:v>2014-07-18</x:v>
      </x:c>
      <x:c r="O64" s="27" t="str">
        <x:v>2026-07-31</x:v>
      </x:c>
      <x:c r="P64" s="27" t="str">
        <x:v>持续更新</x:v>
      </x:c>
      <x:c r="Q64" s="27" t="str"/>
      <x:c r="R64" s="28" t="str"/>
    </x:row>
    <x:row r="65" ht="48" customHeight="1">
      <x:c r="A65" s="27" t="str">
        <x:v>801040</x:v>
      </x:c>
      <x:c r="B65" s="27" t="str">
        <x:v>钢铁</x:v>
      </x:c>
      <x:c r="C65" s="27" t="n">
        <x:v>4</x:v>
      </x:c>
      <x:c r="D65" s="27" t="str">
        <x:v>1040015368</x:v>
      </x:c>
      <x:c r="E65" s="28" t="str">
        <x:v>生产资料价格:钢材:螺纹钢:周环比</x:v>
      </x:c>
      <x:c r="F65" s="28" t="str">
        <x:v>Spot Price: Steel: Rebar: WoW</x:v>
      </x:c>
      <x:c r="G65" s="27" t="str">
        <x:v>周</x:v>
      </x:c>
      <x:c r="H65" s="27" t="str">
        <x:v>%</x:v>
      </x:c>
      <x:c r="I65" s="27" t="str">
        <x:v>当期环比</x:v>
      </x:c>
      <x:c r="J65" s="27" t="str">
        <x:v>全国</x:v>
      </x:c>
      <x:c r="K65" s="27" t="str">
        <x:v>中国</x:v>
      </x:c>
      <x:c r="L65" s="28" t="str">
        <x:v>商务部</x:v>
      </x:c>
      <x:c r="M65" s="28" t="str">
        <x:v>getEcoDataChina</x:v>
      </x:c>
      <x:c r="N65" s="27" t="str">
        <x:v>2017-03-19</x:v>
      </x:c>
      <x:c r="O65" s="27" t="str">
        <x:v>2026-08-02</x:v>
      </x:c>
      <x:c r="P65" s="27" t="str">
        <x:v>持续更新</x:v>
      </x:c>
      <x:c r="Q65" s="27" t="str"/>
      <x:c r="R65" s="28" t="str"/>
    </x:row>
    <x:row r="66" ht="48" customHeight="1">
      <x:c r="A66" s="27" t="str">
        <x:v>801040</x:v>
      </x:c>
      <x:c r="B66" s="27" t="str">
        <x:v>钢铁</x:v>
      </x:c>
      <x:c r="C66" s="27" t="n">
        <x:v>5</x:v>
      </x:c>
      <x:c r="D66" s="27" t="str">
        <x:v>1040015369</x:v>
      </x:c>
      <x:c r="E66" s="28" t="str">
        <x:v>生产资料价格:钢材:高速线材:周环比</x:v>
      </x:c>
      <x:c r="F66" s="28" t="str">
        <x:v>Spot Price: Steel: High-Speed Wire Rod: WoW</x:v>
      </x:c>
      <x:c r="G66" s="27" t="str">
        <x:v>周</x:v>
      </x:c>
      <x:c r="H66" s="27" t="str">
        <x:v>%</x:v>
      </x:c>
      <x:c r="I66" s="27" t="str">
        <x:v>当期环比</x:v>
      </x:c>
      <x:c r="J66" s="27" t="str">
        <x:v>全国</x:v>
      </x:c>
      <x:c r="K66" s="27" t="str">
        <x:v>中国</x:v>
      </x:c>
      <x:c r="L66" s="28" t="str">
        <x:v>商务部</x:v>
      </x:c>
      <x:c r="M66" s="28" t="str">
        <x:v>getEcoDataChina</x:v>
      </x:c>
      <x:c r="N66" s="27" t="str">
        <x:v>2017-03-19</x:v>
      </x:c>
      <x:c r="O66" s="27" t="str">
        <x:v>2026-07-19</x:v>
      </x:c>
      <x:c r="P66" s="27" t="str">
        <x:v>持续更新</x:v>
      </x:c>
      <x:c r="Q66" s="27" t="str"/>
      <x:c r="R66" s="28" t="str"/>
    </x:row>
    <x:row r="67" ht="48" customHeight="1">
      <x:c r="A67" s="27" t="str">
        <x:v>801040</x:v>
      </x:c>
      <x:c r="B67" s="27" t="str">
        <x:v>钢铁</x:v>
      </x:c>
      <x:c r="C67" s="27" t="n">
        <x:v>6</x:v>
      </x:c>
      <x:c r="D67" s="27" t="str">
        <x:v>2040000176</x:v>
      </x:c>
      <x:c r="E67" s="28" t="str">
        <x:v>铁矿石指数:相对价格:进口矿</x:v>
      </x:c>
      <x:c r="F67" s="28" t="str">
        <x:v>Index of Iron Ore: Ore Imports</x:v>
      </x:c>
      <x:c r="G67" s="27" t="str">
        <x:v>日</x:v>
      </x:c>
      <x:c r="H67" s="27" t="str">
        <x:v>2005年1月=100</x:v>
      </x:c>
      <x:c r="I67" s="27" t="str">
        <x:v>当期值</x:v>
      </x:c>
      <x:c r="J67" s="27" t="str"/>
      <x:c r="K67" s="27" t="str">
        <x:v>中国</x:v>
      </x:c>
      <x:c r="L67" s="28" t="str">
        <x:v>Datayes!</x:v>
      </x:c>
      <x:c r="M67" s="28" t="str">
        <x:v>getEcoDataIndSteel</x:v>
      </x:c>
      <x:c r="N67" s="27" t="str">
        <x:v>2005-01-07</x:v>
      </x:c>
      <x:c r="O67" s="27" t="str">
        <x:v>2026-08-07</x:v>
      </x:c>
      <x:c r="P67" s="27" t="str">
        <x:v>持续更新</x:v>
      </x:c>
      <x:c r="Q67" s="27" t="str"/>
      <x:c r="R67" s="28" t="str"/>
    </x:row>
    <x:row r="68" ht="48" customHeight="1">
      <x:c r="A68" s="27" t="str">
        <x:v>801040</x:v>
      </x:c>
      <x:c r="B68" s="27" t="str">
        <x:v>钢铁</x:v>
      </x:c>
      <x:c r="C68" s="27" t="n">
        <x:v>7</x:v>
      </x:c>
      <x:c r="D68" s="27" t="str">
        <x:v>2040000179</x:v>
      </x:c>
      <x:c r="E68" s="28" t="str">
        <x:v>铁矿石指数:相对价格:进口矿:京唐港</x:v>
      </x:c>
      <x:c r="F68" s="28" t="str">
        <x:v>Index of Iron Ore: Ore Imports: Jingtang Port</x:v>
      </x:c>
      <x:c r="G68" s="27" t="str">
        <x:v>日</x:v>
      </x:c>
      <x:c r="H68" s="27" t="str">
        <x:v>2005年1月=100</x:v>
      </x:c>
      <x:c r="I68" s="27" t="str">
        <x:v>当期值</x:v>
      </x:c>
      <x:c r="J68" s="27" t="str"/>
      <x:c r="K68" s="27" t="str">
        <x:v>中国</x:v>
      </x:c>
      <x:c r="L68" s="28" t="str">
        <x:v>Datayes!</x:v>
      </x:c>
      <x:c r="M68" s="28" t="str">
        <x:v>getEcoDataIndSteel</x:v>
      </x:c>
      <x:c r="N68" s="27" t="str">
        <x:v>2005-01-07</x:v>
      </x:c>
      <x:c r="O68" s="27" t="str">
        <x:v>2026-08-07</x:v>
      </x:c>
      <x:c r="P68" s="27" t="str">
        <x:v>持续更新</x:v>
      </x:c>
      <x:c r="Q68" s="27" t="str"/>
      <x:c r="R68" s="28" t="str"/>
    </x:row>
    <x:row r="69" ht="48" customHeight="1">
      <x:c r="A69" s="27" t="str">
        <x:v>801040</x:v>
      </x:c>
      <x:c r="B69" s="27" t="str">
        <x:v>钢铁</x:v>
      </x:c>
      <x:c r="C69" s="27" t="n">
        <x:v>8</x:v>
      </x:c>
      <x:c r="D69" s="27" t="str">
        <x:v>2040000182</x:v>
      </x:c>
      <x:c r="E69" s="28" t="str">
        <x:v>铁矿石指数:相对价格:进口矿:岚山港</x:v>
      </x:c>
      <x:c r="F69" s="28" t="str">
        <x:v>Index of Iron Ore: Ore Imports: Port of Lanshan</x:v>
      </x:c>
      <x:c r="G69" s="27" t="str">
        <x:v>日</x:v>
      </x:c>
      <x:c r="H69" s="27" t="str">
        <x:v>2005年1月=100</x:v>
      </x:c>
      <x:c r="I69" s="27" t="str">
        <x:v>当期值</x:v>
      </x:c>
      <x:c r="J69" s="27" t="str"/>
      <x:c r="K69" s="27" t="str">
        <x:v>中国</x:v>
      </x:c>
      <x:c r="L69" s="28" t="str">
        <x:v>Datayes!</x:v>
      </x:c>
      <x:c r="M69" s="28" t="str">
        <x:v>getEcoDataIndSteel</x:v>
      </x:c>
      <x:c r="N69" s="27" t="str">
        <x:v>2005-01-07</x:v>
      </x:c>
      <x:c r="O69" s="27" t="str">
        <x:v>2026-08-07</x:v>
      </x:c>
      <x:c r="P69" s="27" t="str">
        <x:v>持续更新</x:v>
      </x:c>
      <x:c r="Q69" s="27" t="str"/>
      <x:c r="R69" s="28" t="str"/>
    </x:row>
    <x:row r="70" ht="48" customHeight="1">
      <x:c r="A70" s="27" t="str">
        <x:v>801040</x:v>
      </x:c>
      <x:c r="B70" s="27" t="str">
        <x:v>钢铁</x:v>
      </x:c>
      <x:c r="C70" s="27" t="n">
        <x:v>9</x:v>
      </x:c>
      <x:c r="D70" s="27" t="str">
        <x:v>2040000181</x:v>
      </x:c>
      <x:c r="E70" s="28" t="str">
        <x:v>铁矿石指数:相对价格:进口矿:日照港</x:v>
      </x:c>
      <x:c r="F70" s="28" t="str">
        <x:v>Index of Iron Ore: Ore Imports: Rizhao Port</x:v>
      </x:c>
      <x:c r="G70" s="27" t="str">
        <x:v>日</x:v>
      </x:c>
      <x:c r="H70" s="27" t="str">
        <x:v>2005年1月=100</x:v>
      </x:c>
      <x:c r="I70" s="27" t="str">
        <x:v>当期值</x:v>
      </x:c>
      <x:c r="J70" s="27" t="str"/>
      <x:c r="K70" s="27" t="str">
        <x:v>中国</x:v>
      </x:c>
      <x:c r="L70" s="28" t="str">
        <x:v>Datayes!</x:v>
      </x:c>
      <x:c r="M70" s="28" t="str">
        <x:v>getEcoDataIndSteel</x:v>
      </x:c>
      <x:c r="N70" s="27" t="str">
        <x:v>2005-01-07</x:v>
      </x:c>
      <x:c r="O70" s="27" t="str">
        <x:v>2026-08-07</x:v>
      </x:c>
      <x:c r="P70" s="27" t="str">
        <x:v>持续更新</x:v>
      </x:c>
      <x:c r="Q70" s="27" t="str"/>
      <x:c r="R70" s="28" t="str"/>
    </x:row>
    <x:row r="71" ht="48" customHeight="1">
      <x:c r="A71" s="27" t="str">
        <x:v>801040</x:v>
      </x:c>
      <x:c r="B71" s="27" t="str">
        <x:v>钢铁</x:v>
      </x:c>
      <x:c r="C71" s="27" t="n">
        <x:v>10</x:v>
      </x:c>
      <x:c r="D71" s="27" t="str">
        <x:v>2040000180</x:v>
      </x:c>
      <x:c r="E71" s="28" t="str">
        <x:v>铁矿石指数:相对价格:进口矿:曹妃甸</x:v>
      </x:c>
      <x:c r="F71" s="28" t="str">
        <x:v>Index of Iron Ore: Ore Imports: Caofeidian</x:v>
      </x:c>
      <x:c r="G71" s="27" t="str">
        <x:v>日</x:v>
      </x:c>
      <x:c r="H71" s="27" t="str">
        <x:v>2005年1月=100</x:v>
      </x:c>
      <x:c r="I71" s="27" t="str">
        <x:v>当期值</x:v>
      </x:c>
      <x:c r="J71" s="27" t="str"/>
      <x:c r="K71" s="27" t="str">
        <x:v>中国</x:v>
      </x:c>
      <x:c r="L71" s="28" t="str">
        <x:v>Datayes!</x:v>
      </x:c>
      <x:c r="M71" s="28" t="str">
        <x:v>getEcoDataIndSteel</x:v>
      </x:c>
      <x:c r="N71" s="27" t="str">
        <x:v>2005-01-07</x:v>
      </x:c>
      <x:c r="O71" s="27" t="str">
        <x:v>2026-08-07</x:v>
      </x:c>
      <x:c r="P71" s="27" t="str">
        <x:v>持续更新</x:v>
      </x:c>
      <x:c r="Q71" s="27" t="str"/>
      <x:c r="R71" s="28" t="str"/>
    </x:row>
    <x:row r="72" ht="48" customHeight="1">
      <x:c r="A72" s="27" t="str">
        <x:v>801040</x:v>
      </x:c>
      <x:c r="B72" s="27" t="str">
        <x:v>钢铁</x:v>
      </x:c>
      <x:c r="C72" s="27" t="n">
        <x:v>11</x:v>
      </x:c>
      <x:c r="D72" s="27" t="str">
        <x:v>2040000183</x:v>
      </x:c>
      <x:c r="E72" s="28" t="str">
        <x:v>铁矿石指数:相对价格:进口矿:连云港</x:v>
      </x:c>
      <x:c r="F72" s="28" t="str">
        <x:v>Index of Iron Ore: Ore Imports: Lianyungang</x:v>
      </x:c>
      <x:c r="G72" s="27" t="str">
        <x:v>日</x:v>
      </x:c>
      <x:c r="H72" s="27" t="str">
        <x:v>2005年1月=100</x:v>
      </x:c>
      <x:c r="I72" s="27" t="str">
        <x:v>当期值</x:v>
      </x:c>
      <x:c r="J72" s="27" t="str"/>
      <x:c r="K72" s="27" t="str">
        <x:v>中国</x:v>
      </x:c>
      <x:c r="L72" s="28" t="str">
        <x:v>Datayes!</x:v>
      </x:c>
      <x:c r="M72" s="28" t="str">
        <x:v>getEcoDataIndSteel</x:v>
      </x:c>
      <x:c r="N72" s="27" t="str">
        <x:v>2005-01-07</x:v>
      </x:c>
      <x:c r="O72" s="27" t="str">
        <x:v>2026-08-07</x:v>
      </x:c>
      <x:c r="P72" s="27" t="str">
        <x:v>持续更新</x:v>
      </x:c>
      <x:c r="Q72" s="27" t="str"/>
      <x:c r="R72" s="28" t="str"/>
    </x:row>
    <x:row r="73" ht="48" customHeight="1">
      <x:c r="A73" s="27" t="str">
        <x:v>801040</x:v>
      </x:c>
      <x:c r="B73" s="27" t="str">
        <x:v>钢铁</x:v>
      </x:c>
      <x:c r="C73" s="27" t="n">
        <x:v>12</x:v>
      </x:c>
      <x:c r="D73" s="27" t="str">
        <x:v>2040104245</x:v>
      </x:c>
      <x:c r="E73" s="28" t="str">
        <x:v>中厚板社会库存</x:v>
      </x:c>
      <x:c r="F73" s="28" t="str">
        <x:v>Plate Social Inventory</x:v>
      </x:c>
      <x:c r="G73" s="27" t="str">
        <x:v>周</x:v>
      </x:c>
      <x:c r="H73" s="27" t="str">
        <x:v>万吨</x:v>
      </x:c>
      <x:c r="I73" s="27" t="str">
        <x:v>当期值</x:v>
      </x:c>
      <x:c r="J73" s="27" t="str">
        <x:v>全国</x:v>
      </x:c>
      <x:c r="K73" s="27" t="str">
        <x:v>中国</x:v>
      </x:c>
      <x:c r="L73" s="28" t="str">
        <x:v>兰格钢铁</x:v>
      </x:c>
      <x:c r="M73" s="28" t="str">
        <x:v>getEcoDataIndSteel</x:v>
      </x:c>
      <x:c r="N73" s="27" t="str">
        <x:v>2009-01-16</x:v>
      </x:c>
      <x:c r="O73" s="27" t="str">
        <x:v>2026-08-05</x:v>
      </x:c>
      <x:c r="P73" s="27" t="str">
        <x:v>持续更新</x:v>
      </x:c>
      <x:c r="Q73" s="27" t="str"/>
      <x:c r="R73" s="28" t="str"/>
    </x:row>
    <x:row r="74" ht="48" customHeight="1">
      <x:c r="A74" s="27" t="str">
        <x:v>801040</x:v>
      </x:c>
      <x:c r="B74" s="27" t="str">
        <x:v>钢铁</x:v>
      </x:c>
      <x:c r="C74" s="27" t="n">
        <x:v>13</x:v>
      </x:c>
      <x:c r="D74" s="27" t="str">
        <x:v>2040601007</x:v>
      </x:c>
      <x:c r="E74" s="28" t="str">
        <x:v>价格:CSPI:螺纹钢(三级)HRB400Φ16</x:v>
      </x:c>
      <x:c r="F74" s="28" t="str"/>
      <x:c r="G74" s="27" t="str">
        <x:v>周</x:v>
      </x:c>
      <x:c r="H74" s="27" t="str">
        <x:v>元/吨</x:v>
      </x:c>
      <x:c r="I74" s="27" t="str">
        <x:v>当期值</x:v>
      </x:c>
      <x:c r="J74" s="27" t="str">
        <x:v>全国</x:v>
      </x:c>
      <x:c r="K74" s="27" t="str">
        <x:v>中国</x:v>
      </x:c>
      <x:c r="L74" s="28" t="str">
        <x:v>中国钢铁工业协会</x:v>
      </x:c>
      <x:c r="M74" s="28" t="str">
        <x:v>getEcoDataIndSteel</x:v>
      </x:c>
      <x:c r="N74" s="27" t="str">
        <x:v>2010-10-09</x:v>
      </x:c>
      <x:c r="O74" s="27" t="str">
        <x:v>2026-08-07</x:v>
      </x:c>
      <x:c r="P74" s="27" t="str">
        <x:v>持续更新</x:v>
      </x:c>
      <x:c r="Q74" s="27" t="str"/>
      <x:c r="R74" s="28" t="str"/>
    </x:row>
    <x:row r="75" ht="48" customHeight="1">
      <x:c r="A75" s="27" t="str">
        <x:v>801040</x:v>
      </x:c>
      <x:c r="B75" s="27" t="str">
        <x:v>钢铁</x:v>
      </x:c>
      <x:c r="C75" s="27" t="n">
        <x:v>14</x:v>
      </x:c>
      <x:c r="D75" s="27" t="str">
        <x:v>2040104244</x:v>
      </x:c>
      <x:c r="E75" s="28" t="str">
        <x:v>冷轧卷板社会库存</x:v>
      </x:c>
      <x:c r="F75" s="28" t="str">
        <x:v>Cold Rolled Coil Social Inventory</x:v>
      </x:c>
      <x:c r="G75" s="27" t="str">
        <x:v>周</x:v>
      </x:c>
      <x:c r="H75" s="27" t="str">
        <x:v>万吨</x:v>
      </x:c>
      <x:c r="I75" s="27" t="str">
        <x:v>当期值</x:v>
      </x:c>
      <x:c r="J75" s="27" t="str">
        <x:v>全国</x:v>
      </x:c>
      <x:c r="K75" s="27" t="str">
        <x:v>中国</x:v>
      </x:c>
      <x:c r="L75" s="28" t="str">
        <x:v>兰格钢铁</x:v>
      </x:c>
      <x:c r="M75" s="28" t="str">
        <x:v>getEcoDataIndSteel</x:v>
      </x:c>
      <x:c r="N75" s="27" t="str">
        <x:v>2009-01-16</x:v>
      </x:c>
      <x:c r="O75" s="27" t="str">
        <x:v>2026-08-05</x:v>
      </x:c>
      <x:c r="P75" s="27" t="str">
        <x:v>持续更新</x:v>
      </x:c>
      <x:c r="Q75" s="27" t="str"/>
      <x:c r="R75" s="28" t="str"/>
    </x:row>
    <x:row r="76" ht="48" customHeight="1">
      <x:c r="A76" s="27" t="str">
        <x:v>801040</x:v>
      </x:c>
      <x:c r="B76" s="27" t="str">
        <x:v>钢铁</x:v>
      </x:c>
      <x:c r="C76" s="27" t="n">
        <x:v>15</x:v>
      </x:c>
      <x:c r="D76" s="27" t="str">
        <x:v>1040001980</x:v>
      </x:c>
      <x:c r="E76" s="28" t="str">
        <x:v>国内现货价格:普通高速线材(φ6.5mm)</x:v>
      </x:c>
      <x:c r="F76" s="28" t="str">
        <x:v>Domestic Spot Price: Ordinary High-Speed Wire Φ6.5Mm</x:v>
      </x:c>
      <x:c r="G76" s="27" t="str">
        <x:v>周</x:v>
      </x:c>
      <x:c r="H76" s="27" t="str">
        <x:v>元/吨</x:v>
      </x:c>
      <x:c r="I76" s="27" t="str">
        <x:v>当期值</x:v>
      </x:c>
      <x:c r="J76" s="27" t="str">
        <x:v>全国</x:v>
      </x:c>
      <x:c r="K76" s="27" t="str">
        <x:v>中国</x:v>
      </x:c>
      <x:c r="L76" s="28" t="str">
        <x:v>商务部</x:v>
      </x:c>
      <x:c r="M76" s="28" t="str">
        <x:v>getEcoDataChina</x:v>
      </x:c>
      <x:c r="N76" s="27" t="str">
        <x:v>2003-07-01</x:v>
      </x:c>
      <x:c r="O76" s="27" t="str">
        <x:v>2026-07-31</x:v>
      </x:c>
      <x:c r="P76" s="27" t="str">
        <x:v>持续更新</x:v>
      </x:c>
      <x:c r="Q76" s="27" t="str"/>
      <x:c r="R76" s="28" t="str"/>
    </x:row>
    <x:row r="77" ht="48" customHeight="1">
      <x:c r="A77" s="27" t="str">
        <x:v>801040</x:v>
      </x:c>
      <x:c r="B77" s="27" t="str">
        <x:v>钢铁</x:v>
      </x:c>
      <x:c r="C77" s="27" t="n">
        <x:v>16</x:v>
      </x:c>
      <x:c r="D77" s="27" t="str">
        <x:v>1040001988</x:v>
      </x:c>
      <x:c r="E77" s="28" t="str">
        <x:v>国内现货价格:热轧带钢(180*2.5)</x:v>
      </x:c>
      <x:c r="F77" s="28" t="str">
        <x:v>Domestic Spot Price: Hot-Rolled Strip 180 * 2.5</x:v>
      </x:c>
      <x:c r="G77" s="27" t="str">
        <x:v>周</x:v>
      </x:c>
      <x:c r="H77" s="27" t="str">
        <x:v>元/吨</x:v>
      </x:c>
      <x:c r="I77" s="27" t="str">
        <x:v>当期值</x:v>
      </x:c>
      <x:c r="J77" s="27" t="str">
        <x:v>全国</x:v>
      </x:c>
      <x:c r="K77" s="27" t="str">
        <x:v>中国</x:v>
      </x:c>
      <x:c r="L77" s="28" t="str">
        <x:v>商务部</x:v>
      </x:c>
      <x:c r="M77" s="28" t="str">
        <x:v>getEcoDataChina</x:v>
      </x:c>
      <x:c r="N77" s="27" t="str">
        <x:v>2006-07-01</x:v>
      </x:c>
      <x:c r="O77" s="27" t="str">
        <x:v>2026-07-31</x:v>
      </x:c>
      <x:c r="P77" s="27" t="str">
        <x:v>持续更新</x:v>
      </x:c>
      <x:c r="Q77" s="27" t="str"/>
      <x:c r="R77" s="28" t="str"/>
    </x:row>
    <x:row r="78" ht="48" customHeight="1">
      <x:c r="A78" s="27" t="str">
        <x:v>801040</x:v>
      </x:c>
      <x:c r="B78" s="27" t="str">
        <x:v>钢铁</x:v>
      </x:c>
      <x:c r="C78" s="27" t="n">
        <x:v>17</x:v>
      </x:c>
      <x:c r="D78" s="27" t="str">
        <x:v>1040001981</x:v>
      </x:c>
      <x:c r="E78" s="28" t="str">
        <x:v>国内现货价格:螺纹钢(φ25mm)</x:v>
      </x:c>
      <x:c r="F78" s="28" t="str">
        <x:v>Domestic Spot Price: Rebar Φ25Mm</x:v>
      </x:c>
      <x:c r="G78" s="27" t="str">
        <x:v>周</x:v>
      </x:c>
      <x:c r="H78" s="27" t="str">
        <x:v>元/吨</x:v>
      </x:c>
      <x:c r="I78" s="27" t="str">
        <x:v>当期值</x:v>
      </x:c>
      <x:c r="J78" s="27" t="str">
        <x:v>全国</x:v>
      </x:c>
      <x:c r="K78" s="27" t="str">
        <x:v>中国</x:v>
      </x:c>
      <x:c r="L78" s="28" t="str">
        <x:v>商务部</x:v>
      </x:c>
      <x:c r="M78" s="28" t="str">
        <x:v>getEcoDataChina</x:v>
      </x:c>
      <x:c r="N78" s="27" t="str">
        <x:v>2003-07-01</x:v>
      </x:c>
      <x:c r="O78" s="27" t="str">
        <x:v>2026-07-31</x:v>
      </x:c>
      <x:c r="P78" s="27" t="str">
        <x:v>持续更新</x:v>
      </x:c>
      <x:c r="Q78" s="27" t="str"/>
      <x:c r="R78" s="28" t="str"/>
    </x:row>
    <x:row r="79" ht="48" customHeight="1">
      <x:c r="A79" s="27" t="str">
        <x:v>801040</x:v>
      </x:c>
      <x:c r="B79" s="27" t="str">
        <x:v>钢铁</x:v>
      </x:c>
      <x:c r="C79" s="27" t="n">
        <x:v>18</x:v>
      </x:c>
      <x:c r="D79" s="27" t="str">
        <x:v>2040104243</x:v>
      </x:c>
      <x:c r="E79" s="28" t="str">
        <x:v>热轧卷板社会库存</x:v>
      </x:c>
      <x:c r="F79" s="28" t="str">
        <x:v>Hot Rolled Coil Social Inventory</x:v>
      </x:c>
      <x:c r="G79" s="27" t="str">
        <x:v>周</x:v>
      </x:c>
      <x:c r="H79" s="27" t="str">
        <x:v>万吨</x:v>
      </x:c>
      <x:c r="I79" s="27" t="str">
        <x:v>当期值</x:v>
      </x:c>
      <x:c r="J79" s="27" t="str">
        <x:v>全国</x:v>
      </x:c>
      <x:c r="K79" s="27" t="str">
        <x:v>中国</x:v>
      </x:c>
      <x:c r="L79" s="28" t="str">
        <x:v>兰格钢铁</x:v>
      </x:c>
      <x:c r="M79" s="28" t="str">
        <x:v>getEcoDataIndSteel</x:v>
      </x:c>
      <x:c r="N79" s="27" t="str">
        <x:v>2007-12-29</x:v>
      </x:c>
      <x:c r="O79" s="27" t="str">
        <x:v>2026-08-05</x:v>
      </x:c>
      <x:c r="P79" s="27" t="str">
        <x:v>持续更新</x:v>
      </x:c>
      <x:c r="Q79" s="27" t="str"/>
      <x:c r="R79" s="28" t="str"/>
    </x:row>
    <x:row r="80" ht="48" customHeight="1">
      <x:c r="A80" s="27" t="str">
        <x:v>801040</x:v>
      </x:c>
      <x:c r="B80" s="27" t="str">
        <x:v>钢铁</x:v>
      </x:c>
      <x:c r="C80" s="27" t="n">
        <x:v>19</x:v>
      </x:c>
      <x:c r="D80" s="27" t="str">
        <x:v>1040005361</x:v>
      </x:c>
      <x:c r="E80" s="28" t="str">
        <x:v>生产资料价格:钢材:不锈钢板:2.0,304/2B冷轧:当月值</x:v>
      </x:c>
      <x:c r="F80" s="28" t="str">
        <x:v>Price of Means of Production: Steel: Stainless Steel Plate: 2.0,304/2B Cold Rolled:Current</x:v>
      </x:c>
      <x:c r="G80" s="27" t="str">
        <x:v>月</x:v>
      </x:c>
      <x:c r="H80" s="27" t="str">
        <x:v>元/吨</x:v>
      </x:c>
      <x:c r="I80" s="27" t="str">
        <x:v>当期值</x:v>
      </x:c>
      <x:c r="J80" s="27" t="str">
        <x:v>全国</x:v>
      </x:c>
      <x:c r="K80" s="27" t="str">
        <x:v>中国</x:v>
      </x:c>
      <x:c r="L80" s="28" t="str">
        <x:v>发改委</x:v>
      </x:c>
      <x:c r="M80" s="28" t="str">
        <x:v>getEcoDataChina</x:v>
      </x:c>
      <x:c r="N80" s="27" t="str">
        <x:v>2015-05-31</x:v>
      </x:c>
      <x:c r="O80" s="27" t="str">
        <x:v>2026-06-30</x:v>
      </x:c>
      <x:c r="P80" s="27" t="str">
        <x:v>持续更新</x:v>
      </x:c>
      <x:c r="Q80" s="27" t="str"/>
      <x:c r="R80" s="28" t="str"/>
    </x:row>
    <x:row r="81" ht="48" customHeight="1">
      <x:c r="A81" s="27" t="str">
        <x:v>801040</x:v>
      </x:c>
      <x:c r="B81" s="27" t="str">
        <x:v>钢铁</x:v>
      </x:c>
      <x:c r="C81" s="27" t="n">
        <x:v>20</x:v>
      </x:c>
      <x:c r="D81" s="27" t="str">
        <x:v>1040005382</x:v>
      </x:c>
      <x:c r="E81" s="28" t="str">
        <x:v>生产资料价格:钢材:热轧中厚板:20,Q235:当月值</x:v>
      </x:c>
      <x:c r="F81" s="28" t="str">
        <x:v>Price of Means of Production: Steel: Hot Rolled Plate: 20, Q235: Current</x:v>
      </x:c>
      <x:c r="G81" s="27" t="str">
        <x:v>月</x:v>
      </x:c>
      <x:c r="H81" s="27" t="str">
        <x:v>元/吨</x:v>
      </x:c>
      <x:c r="I81" s="27" t="str">
        <x:v>当期值</x:v>
      </x:c>
      <x:c r="J81" s="27" t="str">
        <x:v>全国</x:v>
      </x:c>
      <x:c r="K81" s="27" t="str">
        <x:v>中国</x:v>
      </x:c>
      <x:c r="L81" s="28" t="str">
        <x:v>发改委</x:v>
      </x:c>
      <x:c r="M81" s="28" t="str">
        <x:v>getEcoDataChina</x:v>
      </x:c>
      <x:c r="N81" s="27" t="str">
        <x:v>2015-05-31</x:v>
      </x:c>
      <x:c r="O81" s="27" t="str">
        <x:v>2026-06-30</x:v>
      </x:c>
      <x:c r="P81" s="27" t="str">
        <x:v>持续更新</x:v>
      </x:c>
      <x:c r="Q81" s="27" t="str"/>
      <x:c r="R81" s="28" t="str"/>
    </x:row>
    <x:row r="82" ht="48" customHeight="1">
      <x:c r="A82" s="27" t="str">
        <x:v>801040</x:v>
      </x:c>
      <x:c r="B82" s="27" t="str">
        <x:v>钢铁</x:v>
      </x:c>
      <x:c r="C82" s="27" t="n">
        <x:v>21</x:v>
      </x:c>
      <x:c r="D82" s="27" t="str">
        <x:v>2040104242</x:v>
      </x:c>
      <x:c r="E82" s="28" t="str">
        <x:v>螺纹钢社会库存</x:v>
      </x:c>
      <x:c r="F82" s="28" t="str">
        <x:v>Rebar Social Inventory</x:v>
      </x:c>
      <x:c r="G82" s="27" t="str">
        <x:v>周</x:v>
      </x:c>
      <x:c r="H82" s="27" t="str">
        <x:v>万吨</x:v>
      </x:c>
      <x:c r="I82" s="27" t="str">
        <x:v>当期值</x:v>
      </x:c>
      <x:c r="J82" s="27" t="str">
        <x:v>全国</x:v>
      </x:c>
      <x:c r="K82" s="27" t="str">
        <x:v>中国</x:v>
      </x:c>
      <x:c r="L82" s="28" t="str">
        <x:v>兰格钢铁</x:v>
      </x:c>
      <x:c r="M82" s="28" t="str">
        <x:v>getEcoDataIndSteel</x:v>
      </x:c>
      <x:c r="N82" s="27" t="str">
        <x:v>2006-04-07</x:v>
      </x:c>
      <x:c r="O82" s="27" t="str">
        <x:v>2026-08-05</x:v>
      </x:c>
      <x:c r="P82" s="27" t="str">
        <x:v>持续更新</x:v>
      </x:c>
      <x:c r="Q82" s="27" t="str"/>
      <x:c r="R82" s="28" t="str"/>
    </x:row>
    <x:row r="83" ht="48" customHeight="1">
      <x:c r="A83" s="27" t="str">
        <x:v>801040</x:v>
      </x:c>
      <x:c r="B83" s="27" t="str">
        <x:v>钢铁</x:v>
      </x:c>
      <x:c r="C83" s="27" t="n">
        <x:v>22</x:v>
      </x:c>
      <x:c r="D83" s="27" t="str">
        <x:v>2040104240</x:v>
      </x:c>
      <x:c r="E83" s="28" t="str">
        <x:v>钢材社会库存</x:v>
      </x:c>
      <x:c r="F83" s="28" t="str">
        <x:v>Steel Social Inventory</x:v>
      </x:c>
      <x:c r="G83" s="27" t="str">
        <x:v>周</x:v>
      </x:c>
      <x:c r="H83" s="27" t="str">
        <x:v>万吨</x:v>
      </x:c>
      <x:c r="I83" s="27" t="str">
        <x:v>当期值</x:v>
      </x:c>
      <x:c r="J83" s="27" t="str">
        <x:v>全国</x:v>
      </x:c>
      <x:c r="K83" s="27" t="str">
        <x:v>中国</x:v>
      </x:c>
      <x:c r="L83" s="28" t="str">
        <x:v>兰格钢铁</x:v>
      </x:c>
      <x:c r="M83" s="28" t="str">
        <x:v>getEcoDataIndSteel</x:v>
      </x:c>
      <x:c r="N83" s="27" t="str">
        <x:v>2006-04-07</x:v>
      </x:c>
      <x:c r="O83" s="27" t="str">
        <x:v>2026-08-05</x:v>
      </x:c>
      <x:c r="P83" s="27" t="str">
        <x:v>持续更新</x:v>
      </x:c>
      <x:c r="Q83" s="27" t="str"/>
      <x:c r="R83" s="28" t="str"/>
    </x:row>
    <x:row r="84" ht="48" customHeight="1">
      <x:c r="A84" s="27" t="str">
        <x:v>801040</x:v>
      </x:c>
      <x:c r="B84" s="27" t="str">
        <x:v>钢铁</x:v>
      </x:c>
      <x:c r="C84" s="27" t="n">
        <x:v>23</x:v>
      </x:c>
      <x:c r="D84" s="27" t="str">
        <x:v>2040104248</x:v>
      </x:c>
      <x:c r="E84" s="28" t="str">
        <x:v>铁矿石港口库存</x:v>
      </x:c>
      <x:c r="F84" s="28" t="str">
        <x:v>Iron Ore Port Inventory</x:v>
      </x:c>
      <x:c r="G84" s="27" t="str">
        <x:v>周</x:v>
      </x:c>
      <x:c r="H84" s="27" t="str">
        <x:v>万吨</x:v>
      </x:c>
      <x:c r="I84" s="27" t="str">
        <x:v>当期值</x:v>
      </x:c>
      <x:c r="J84" s="27" t="str">
        <x:v>全国</x:v>
      </x:c>
      <x:c r="K84" s="27" t="str">
        <x:v>中国</x:v>
      </x:c>
      <x:c r="L84" s="28" t="str">
        <x:v>兰格钢铁</x:v>
      </x:c>
      <x:c r="M84" s="28" t="str">
        <x:v>getEcoDataIndSteel</x:v>
      </x:c>
      <x:c r="N84" s="27" t="str">
        <x:v>2007-01-05</x:v>
      </x:c>
      <x:c r="O84" s="27" t="str">
        <x:v>2026-08-05</x:v>
      </x:c>
      <x:c r="P84" s="27" t="str">
        <x:v>持续更新</x:v>
      </x:c>
      <x:c r="Q84" s="27" t="str"/>
      <x:c r="R84" s="28" t="str"/>
    </x:row>
    <x:row r="85" ht="48" customHeight="1">
      <x:c r="A85" s="27" t="str">
        <x:v>801040</x:v>
      </x:c>
      <x:c r="B85" s="27" t="str">
        <x:v>钢铁</x:v>
      </x:c>
      <x:c r="C85" s="27" t="n">
        <x:v>24</x:v>
      </x:c>
      <x:c r="D85" s="27" t="str">
        <x:v>2040608869</x:v>
      </x:c>
      <x:c r="E85" s="28" t="str">
        <x:v>产量:重点优特钢企业:冷轧钢材:累计值</x:v>
      </x:c>
      <x:c r="F85" s="28" t="str">
        <x:v>Output: Key High Quality and Special Steel Companies: Cold Rolled Steel: Cumulative Value</x:v>
      </x:c>
      <x:c r="G85" s="27" t="str">
        <x:v>月</x:v>
      </x:c>
      <x:c r="H85" s="27" t="str">
        <x:v>吨</x:v>
      </x:c>
      <x:c r="I85" s="27" t="str">
        <x:v>累计值</x:v>
      </x:c>
      <x:c r="J85" s="27" t="str">
        <x:v>中国大陆</x:v>
      </x:c>
      <x:c r="K85" s="27" t="str">
        <x:v>中国</x:v>
      </x:c>
      <x:c r="L85" s="28" t="str">
        <x:v>兰格钢铁</x:v>
      </x:c>
      <x:c r="M85" s="28" t="str">
        <x:v>getEcoDataIndSteel</x:v>
      </x:c>
      <x:c r="N85" s="27" t="str">
        <x:v>2012-02-29</x:v>
      </x:c>
      <x:c r="O85" s="27" t="str">
        <x:v>2026-03-31</x:v>
      </x:c>
      <x:c r="P85" s="27" t="str">
        <x:v>持续更新</x:v>
      </x:c>
      <x:c r="Q85" s="27" t="str"/>
      <x:c r="R85" s="28" t="str"/>
    </x:row>
    <x:row r="86" ht="48" customHeight="1">
      <x:c r="A86" s="27" t="str">
        <x:v>801040</x:v>
      </x:c>
      <x:c r="B86" s="27" t="str">
        <x:v>钢铁</x:v>
      </x:c>
      <x:c r="C86" s="27" t="n">
        <x:v>25</x:v>
      </x:c>
      <x:c r="D86" s="27" t="str">
        <x:v>2040608868</x:v>
      </x:c>
      <x:c r="E86" s="28" t="str">
        <x:v>产量:重点优特钢企业:热轧钢材:累计值</x:v>
      </x:c>
      <x:c r="F86" s="28" t="str">
        <x:v>Output: Key High Quality and Special Steel Companies: Hot Rolled Steel: Cumulative Value</x:v>
      </x:c>
      <x:c r="G86" s="27" t="str">
        <x:v>月</x:v>
      </x:c>
      <x:c r="H86" s="27" t="str">
        <x:v>吨</x:v>
      </x:c>
      <x:c r="I86" s="27" t="str">
        <x:v>累计值</x:v>
      </x:c>
      <x:c r="J86" s="27" t="str">
        <x:v>中国大陆</x:v>
      </x:c>
      <x:c r="K86" s="27" t="str">
        <x:v>中国</x:v>
      </x:c>
      <x:c r="L86" s="28" t="str">
        <x:v>兰格钢铁</x:v>
      </x:c>
      <x:c r="M86" s="28" t="str">
        <x:v>getEcoDataIndSteel</x:v>
      </x:c>
      <x:c r="N86" s="27" t="str">
        <x:v>2012-02-29</x:v>
      </x:c>
      <x:c r="O86" s="27" t="str">
        <x:v>2026-03-31</x:v>
      </x:c>
      <x:c r="P86" s="27" t="str">
        <x:v>持续更新</x:v>
      </x:c>
      <x:c r="Q86" s="27" t="str"/>
      <x:c r="R86" s="28" t="str"/>
    </x:row>
    <x:row r="87" ht="48" customHeight="1">
      <x:c r="A87" s="27" t="str">
        <x:v>801040</x:v>
      </x:c>
      <x:c r="B87" s="27" t="str">
        <x:v>钢铁</x:v>
      </x:c>
      <x:c r="C87" s="27" t="n">
        <x:v>26</x:v>
      </x:c>
      <x:c r="D87" s="27" t="str">
        <x:v>2040608984</x:v>
      </x:c>
      <x:c r="E87" s="28" t="str">
        <x:v>产量:重点优特钢企业:粗钢:不锈钢:累计值</x:v>
      </x:c>
      <x:c r="F87" s="28" t="str">
        <x:v>Output: Key High Quality and Special Steel Companies: Crude Steel: Stainless Steel: Cumulative Value</x:v>
      </x:c>
      <x:c r="G87" s="27" t="str">
        <x:v>月</x:v>
      </x:c>
      <x:c r="H87" s="27" t="str">
        <x:v>吨</x:v>
      </x:c>
      <x:c r="I87" s="27" t="str">
        <x:v>累计值</x:v>
      </x:c>
      <x:c r="J87" s="27" t="str">
        <x:v>中国大陆</x:v>
      </x:c>
      <x:c r="K87" s="27" t="str">
        <x:v>中国</x:v>
      </x:c>
      <x:c r="L87" s="28" t="str">
        <x:v>兰格钢铁</x:v>
      </x:c>
      <x:c r="M87" s="28" t="str">
        <x:v>getEcoDataIndSteel</x:v>
      </x:c>
      <x:c r="N87" s="27" t="str">
        <x:v>2011-02-28</x:v>
      </x:c>
      <x:c r="O87" s="27" t="str">
        <x:v>2026-05-31</x:v>
      </x:c>
      <x:c r="P87" s="27" t="str">
        <x:v>持续更新</x:v>
      </x:c>
      <x:c r="Q87" s="27" t="str"/>
      <x:c r="R87" s="28" t="str"/>
    </x:row>
    <x:row r="88" ht="48" customHeight="1">
      <x:c r="A88" s="27" t="str">
        <x:v>801040</x:v>
      </x:c>
      <x:c r="B88" s="27" t="str">
        <x:v>钢铁</x:v>
      </x:c>
      <x:c r="C88" s="27" t="n">
        <x:v>27</x:v>
      </x:c>
      <x:c r="D88" s="27" t="str">
        <x:v>2040608987</x:v>
      </x:c>
      <x:c r="E88" s="28" t="str">
        <x:v>产量:重点优特钢企业:粗钢:耐热不锈钢:累计值</x:v>
      </x:c>
      <x:c r="F88" s="28" t="str">
        <x:v>Output: Key High Quality and Special Steel Companies: Crude Steel: Heat-resistant Stainless Steel: Cumulative Value</x:v>
      </x:c>
      <x:c r="G88" s="27" t="str">
        <x:v>月</x:v>
      </x:c>
      <x:c r="H88" s="27" t="str">
        <x:v>吨</x:v>
      </x:c>
      <x:c r="I88" s="27" t="str">
        <x:v>累计值</x:v>
      </x:c>
      <x:c r="J88" s="27" t="str">
        <x:v>中国大陆</x:v>
      </x:c>
      <x:c r="K88" s="27" t="str">
        <x:v>中国</x:v>
      </x:c>
      <x:c r="L88" s="28" t="str">
        <x:v>兰格钢铁</x:v>
      </x:c>
      <x:c r="M88" s="28" t="str">
        <x:v>getEcoDataIndSteel</x:v>
      </x:c>
      <x:c r="N88" s="27" t="str">
        <x:v>2011-02-28</x:v>
      </x:c>
      <x:c r="O88" s="27" t="str">
        <x:v>2026-05-31</x:v>
      </x:c>
      <x:c r="P88" s="27" t="str">
        <x:v>持续更新</x:v>
      </x:c>
      <x:c r="Q88" s="27" t="str"/>
      <x:c r="R88" s="28" t="str"/>
    </x:row>
    <x:row r="89" ht="48" customHeight="1">
      <x:c r="A89" s="27" t="str">
        <x:v>801040</x:v>
      </x:c>
      <x:c r="B89" s="27" t="str">
        <x:v>钢铁</x:v>
      </x:c>
      <x:c r="C89" s="27" t="n">
        <x:v>28</x:v>
      </x:c>
      <x:c r="D89" s="27" t="str">
        <x:v>2040608985</x:v>
      </x:c>
      <x:c r="E89" s="28" t="str">
        <x:v>产量:重点优特钢企业:粗钢:铬系不锈钢:累计值</x:v>
      </x:c>
      <x:c r="F89" s="28" t="str">
        <x:v>Output: Key High Quality and Special Steel Companies: Crude Steel: Chrome Stainless Steel: Cumulative Value</x:v>
      </x:c>
      <x:c r="G89" s="27" t="str">
        <x:v>月</x:v>
      </x:c>
      <x:c r="H89" s="27" t="str">
        <x:v>吨</x:v>
      </x:c>
      <x:c r="I89" s="27" t="str">
        <x:v>累计值</x:v>
      </x:c>
      <x:c r="J89" s="27" t="str">
        <x:v>中国大陆</x:v>
      </x:c>
      <x:c r="K89" s="27" t="str">
        <x:v>中国</x:v>
      </x:c>
      <x:c r="L89" s="28" t="str">
        <x:v>兰格钢铁</x:v>
      </x:c>
      <x:c r="M89" s="28" t="str">
        <x:v>getEcoDataIndSteel</x:v>
      </x:c>
      <x:c r="N89" s="27" t="str">
        <x:v>2011-02-28</x:v>
      </x:c>
      <x:c r="O89" s="27" t="str">
        <x:v>2026-05-31</x:v>
      </x:c>
      <x:c r="P89" s="27" t="str">
        <x:v>持续更新</x:v>
      </x:c>
      <x:c r="Q89" s="27" t="str"/>
      <x:c r="R89" s="28" t="str"/>
    </x:row>
    <x:row r="90" ht="48" customHeight="1">
      <x:c r="A90" s="27" t="str">
        <x:v>801040</x:v>
      </x:c>
      <x:c r="B90" s="27" t="str">
        <x:v>钢铁</x:v>
      </x:c>
      <x:c r="C90" s="27" t="n">
        <x:v>29</x:v>
      </x:c>
      <x:c r="D90" s="27" t="str">
        <x:v>2040608986</x:v>
      </x:c>
      <x:c r="E90" s="28" t="str">
        <x:v>产量:重点优特钢企业:粗钢:铬镍系不锈钢:累计值</x:v>
      </x:c>
      <x:c r="F90" s="28" t="str">
        <x:v>Output: Key High Quality and Special Steel Companies: Crude Steel: Chrome Nickel Stainless Steel: Cumulative Value</x:v>
      </x:c>
      <x:c r="G90" s="27" t="str">
        <x:v>月</x:v>
      </x:c>
      <x:c r="H90" s="27" t="str">
        <x:v>吨</x:v>
      </x:c>
      <x:c r="I90" s="27" t="str">
        <x:v>累计值</x:v>
      </x:c>
      <x:c r="J90" s="27" t="str">
        <x:v>中国大陆</x:v>
      </x:c>
      <x:c r="K90" s="27" t="str">
        <x:v>中国</x:v>
      </x:c>
      <x:c r="L90" s="28" t="str">
        <x:v>兰格钢铁</x:v>
      </x:c>
      <x:c r="M90" s="28" t="str">
        <x:v>getEcoDataIndSteel</x:v>
      </x:c>
      <x:c r="N90" s="27" t="str">
        <x:v>2011-02-28</x:v>
      </x:c>
      <x:c r="O90" s="27" t="str">
        <x:v>2026-05-31</x:v>
      </x:c>
      <x:c r="P90" s="27" t="str">
        <x:v>持续更新</x:v>
      </x:c>
      <x:c r="Q90" s="27" t="str"/>
      <x:c r="R90" s="28" t="str"/>
    </x:row>
    <x:row r="91" ht="48" customHeight="1">
      <x:c r="A91" s="27" t="str">
        <x:v>801040</x:v>
      </x:c>
      <x:c r="B91" s="27" t="str">
        <x:v>钢铁</x:v>
      </x:c>
      <x:c r="C91" s="27" t="n">
        <x:v>30</x:v>
      </x:c>
      <x:c r="D91" s="27" t="str">
        <x:v>2040608918</x:v>
      </x:c>
      <x:c r="E91" s="28" t="str">
        <x:v>产量:重点优特钢企业:钢材:不锈钢:累计值</x:v>
      </x:c>
      <x:c r="F91" s="28" t="str">
        <x:v>Output: Key High Quality and Special Steel Companies: Steel: Stainless Steel: Cumulative Value</x:v>
      </x:c>
      <x:c r="G91" s="27" t="str">
        <x:v>月</x:v>
      </x:c>
      <x:c r="H91" s="27" t="str">
        <x:v>吨</x:v>
      </x:c>
      <x:c r="I91" s="27" t="str">
        <x:v>累计值</x:v>
      </x:c>
      <x:c r="J91" s="27" t="str">
        <x:v>中国大陆</x:v>
      </x:c>
      <x:c r="K91" s="27" t="str">
        <x:v>中国</x:v>
      </x:c>
      <x:c r="L91" s="28" t="str">
        <x:v>兰格钢铁</x:v>
      </x:c>
      <x:c r="M91" s="28" t="str">
        <x:v>getEcoDataIndSteel</x:v>
      </x:c>
      <x:c r="N91" s="27" t="str">
        <x:v>2011-02-28</x:v>
      </x:c>
      <x:c r="O91" s="27" t="str">
        <x:v>2026-03-31</x:v>
      </x:c>
      <x:c r="P91" s="27" t="str">
        <x:v>持续更新</x:v>
      </x:c>
      <x:c r="Q91" s="27" t="str"/>
      <x:c r="R91" s="28" t="str"/>
    </x:row>
    <x:row r="92" ht="48" customHeight="1">
      <x:c r="A92" s="27" t="str">
        <x:v>801050</x:v>
      </x:c>
      <x:c r="B92" s="27" t="str">
        <x:v>有色金属</x:v>
      </x:c>
      <x:c r="C92" s="27" t="n">
        <x:v>1</x:v>
      </x:c>
      <x:c r="D92" s="27" t="str">
        <x:v>2030019767</x:v>
      </x:c>
      <x:c r="E92" s="28" t="str">
        <x:v>价格:正极材料:磷酸铁锂</x:v>
      </x:c>
      <x:c r="F92" s="28" t="str">
        <x:v>Price: Cathode Material: Lithium Iron Phosphate</x:v>
      </x:c>
      <x:c r="G92" s="27" t="str">
        <x:v>日</x:v>
      </x:c>
      <x:c r="H92" s="27" t="str">
        <x:v>元/吨</x:v>
      </x:c>
      <x:c r="I92" s="27" t="str">
        <x:v>当期值</x:v>
      </x:c>
      <x:c r="J92" s="27" t="str">
        <x:v>全国</x:v>
      </x:c>
      <x:c r="K92" s="27" t="str">
        <x:v>中国</x:v>
      </x:c>
      <x:c r="L92" s="28" t="str">
        <x:v>Datayes!</x:v>
      </x:c>
      <x:c r="M92" s="28" t="str">
        <x:v>getEcoDataIndChemical</x:v>
      </x:c>
      <x:c r="N92" s="27" t="str">
        <x:v>2017-11-01</x:v>
      </x:c>
      <x:c r="O92" s="27" t="str">
        <x:v>2026-08-07</x:v>
      </x:c>
      <x:c r="P92" s="27" t="str">
        <x:v>持续更新</x:v>
      </x:c>
      <x:c r="Q92" s="27" t="str"/>
      <x:c r="R92" s="28" t="str"/>
    </x:row>
    <x:row r="93" ht="48" customHeight="1">
      <x:c r="A93" s="27" t="str">
        <x:v>801050</x:v>
      </x:c>
      <x:c r="B93" s="27" t="str">
        <x:v>有色金属</x:v>
      </x:c>
      <x:c r="C93" s="27" t="n">
        <x:v>2</x:v>
      </x:c>
      <x:c r="D93" s="27" t="str">
        <x:v>1040015389</x:v>
      </x:c>
      <x:c r="E93" s="28" t="str">
        <x:v>生产资料价格:有色金属:铜:周环比</x:v>
      </x:c>
      <x:c r="F93" s="28" t="str">
        <x:v>Spot Price: Non-Ferrous Metals: Copper: WoW</x:v>
      </x:c>
      <x:c r="G93" s="27" t="str">
        <x:v>周</x:v>
      </x:c>
      <x:c r="H93" s="27" t="str">
        <x:v>%</x:v>
      </x:c>
      <x:c r="I93" s="27" t="str">
        <x:v>当期环比</x:v>
      </x:c>
      <x:c r="J93" s="27" t="str">
        <x:v>全国</x:v>
      </x:c>
      <x:c r="K93" s="27" t="str">
        <x:v>中国</x:v>
      </x:c>
      <x:c r="L93" s="28" t="str">
        <x:v>商务部</x:v>
      </x:c>
      <x:c r="M93" s="28" t="str">
        <x:v>getEcoDataChina</x:v>
      </x:c>
      <x:c r="N93" s="27" t="str">
        <x:v>2017-03-19</x:v>
      </x:c>
      <x:c r="O93" s="27" t="str">
        <x:v>2026-08-02</x:v>
      </x:c>
      <x:c r="P93" s="27" t="str">
        <x:v>持续更新</x:v>
      </x:c>
      <x:c r="Q93" s="27" t="str"/>
      <x:c r="R93" s="28" t="str"/>
    </x:row>
    <x:row r="94" ht="48" customHeight="1">
      <x:c r="A94" s="27" t="str">
        <x:v>801050</x:v>
      </x:c>
      <x:c r="B94" s="27" t="str">
        <x:v>有色金属</x:v>
      </x:c>
      <x:c r="C94" s="27" t="n">
        <x:v>3</x:v>
      </x:c>
      <x:c r="D94" s="27" t="str">
        <x:v>1040015390</x:v>
      </x:c>
      <x:c r="E94" s="28" t="str">
        <x:v>生产资料价格:有色金属:铝:周环比</x:v>
      </x:c>
      <x:c r="F94" s="28" t="str">
        <x:v>Spot Price: Non-Ferrous Metals: Aluminum: WoW</x:v>
      </x:c>
      <x:c r="G94" s="27" t="str">
        <x:v>周</x:v>
      </x:c>
      <x:c r="H94" s="27" t="str">
        <x:v>%</x:v>
      </x:c>
      <x:c r="I94" s="27" t="str">
        <x:v>当期环比</x:v>
      </x:c>
      <x:c r="J94" s="27" t="str">
        <x:v>全国</x:v>
      </x:c>
      <x:c r="K94" s="27" t="str">
        <x:v>中国</x:v>
      </x:c>
      <x:c r="L94" s="28" t="str">
        <x:v>商务部</x:v>
      </x:c>
      <x:c r="M94" s="28" t="str">
        <x:v>getEcoDataChina</x:v>
      </x:c>
      <x:c r="N94" s="27" t="str">
        <x:v>2017-03-19</x:v>
      </x:c>
      <x:c r="O94" s="27" t="str">
        <x:v>2026-08-02</x:v>
      </x:c>
      <x:c r="P94" s="27" t="str">
        <x:v>持续更新</x:v>
      </x:c>
      <x:c r="Q94" s="27" t="str"/>
      <x:c r="R94" s="28" t="str"/>
    </x:row>
    <x:row r="95" ht="48" customHeight="1">
      <x:c r="A95" s="27" t="str">
        <x:v>801050</x:v>
      </x:c>
      <x:c r="B95" s="27" t="str">
        <x:v>有色金属</x:v>
      </x:c>
      <x:c r="C95" s="27" t="n">
        <x:v>4</x:v>
      </x:c>
      <x:c r="D95" s="27" t="str">
        <x:v>1040015392</x:v>
      </x:c>
      <x:c r="E95" s="28" t="str">
        <x:v>生产资料价格:有色金属:锌:周环比</x:v>
      </x:c>
      <x:c r="F95" s="28" t="str">
        <x:v>Spot Price: Non-Ferrous Metals: Zinc: WoW</x:v>
      </x:c>
      <x:c r="G95" s="27" t="str">
        <x:v>周</x:v>
      </x:c>
      <x:c r="H95" s="27" t="str">
        <x:v>%</x:v>
      </x:c>
      <x:c r="I95" s="27" t="str">
        <x:v>当期环比</x:v>
      </x:c>
      <x:c r="J95" s="27" t="str">
        <x:v>全国</x:v>
      </x:c>
      <x:c r="K95" s="27" t="str">
        <x:v>中国</x:v>
      </x:c>
      <x:c r="L95" s="28" t="str">
        <x:v>商务部</x:v>
      </x:c>
      <x:c r="M95" s="28" t="str">
        <x:v>getEcoDataChina</x:v>
      </x:c>
      <x:c r="N95" s="27" t="str">
        <x:v>2017-03-19</x:v>
      </x:c>
      <x:c r="O95" s="27" t="str">
        <x:v>2026-08-02</x:v>
      </x:c>
      <x:c r="P95" s="27" t="str">
        <x:v>持续更新</x:v>
      </x:c>
      <x:c r="Q95" s="27" t="str"/>
      <x:c r="R95" s="28" t="str"/>
    </x:row>
    <x:row r="96" ht="48" customHeight="1">
      <x:c r="A96" s="27" t="str">
        <x:v>801050</x:v>
      </x:c>
      <x:c r="B96" s="27" t="str">
        <x:v>有色金属</x:v>
      </x:c>
      <x:c r="C96" s="27" t="n">
        <x:v>5</x:v>
      </x:c>
      <x:c r="D96" s="27" t="str">
        <x:v>1040002010</x:v>
      </x:c>
      <x:c r="E96" s="28" t="str">
        <x:v>国内期货价格:铜</x:v>
      </x:c>
      <x:c r="F96" s="28" t="str">
        <x:v>Domestic Futures Prices: Copper</x:v>
      </x:c>
      <x:c r="G96" s="27" t="str">
        <x:v>周</x:v>
      </x:c>
      <x:c r="H96" s="27" t="str">
        <x:v>元/吨</x:v>
      </x:c>
      <x:c r="I96" s="27" t="str">
        <x:v>当期值</x:v>
      </x:c>
      <x:c r="J96" s="27" t="str">
        <x:v>全国</x:v>
      </x:c>
      <x:c r="K96" s="27" t="str">
        <x:v>中国</x:v>
      </x:c>
      <x:c r="L96" s="28" t="str">
        <x:v>商务部</x:v>
      </x:c>
      <x:c r="M96" s="28" t="str">
        <x:v>getEcoDataChina</x:v>
      </x:c>
      <x:c r="N96" s="27" t="str">
        <x:v>2005-01-07</x:v>
      </x:c>
      <x:c r="O96" s="27" t="str">
        <x:v>2026-07-31</x:v>
      </x:c>
      <x:c r="P96" s="27" t="str">
        <x:v>持续更新</x:v>
      </x:c>
      <x:c r="Q96" s="27" t="str"/>
      <x:c r="R96" s="28" t="str"/>
    </x:row>
    <x:row r="97" ht="48" customHeight="1">
      <x:c r="A97" s="27" t="str">
        <x:v>801050</x:v>
      </x:c>
      <x:c r="B97" s="27" t="str">
        <x:v>有色金属</x:v>
      </x:c>
      <x:c r="C97" s="27" t="n">
        <x:v>6</x:v>
      </x:c>
      <x:c r="D97" s="27" t="str">
        <x:v>1040002011</x:v>
      </x:c>
      <x:c r="E97" s="28" t="str">
        <x:v>国内期货价格:铝</x:v>
      </x:c>
      <x:c r="F97" s="28" t="str">
        <x:v>Domestic Futures Prices: Aluminum</x:v>
      </x:c>
      <x:c r="G97" s="27" t="str">
        <x:v>周</x:v>
      </x:c>
      <x:c r="H97" s="27" t="str">
        <x:v>元/吨</x:v>
      </x:c>
      <x:c r="I97" s="27" t="str">
        <x:v>当期值</x:v>
      </x:c>
      <x:c r="J97" s="27" t="str">
        <x:v>全国</x:v>
      </x:c>
      <x:c r="K97" s="27" t="str">
        <x:v>中国</x:v>
      </x:c>
      <x:c r="L97" s="28" t="str">
        <x:v>商务部</x:v>
      </x:c>
      <x:c r="M97" s="28" t="str">
        <x:v>getEcoDataChina</x:v>
      </x:c>
      <x:c r="N97" s="27" t="str">
        <x:v>2005-01-07</x:v>
      </x:c>
      <x:c r="O97" s="27" t="str">
        <x:v>2026-07-31</x:v>
      </x:c>
      <x:c r="P97" s="27" t="str">
        <x:v>持续更新</x:v>
      </x:c>
      <x:c r="Q97" s="27" t="str"/>
      <x:c r="R97" s="28" t="str"/>
    </x:row>
    <x:row r="98" ht="48" customHeight="1">
      <x:c r="A98" s="27" t="str">
        <x:v>801050</x:v>
      </x:c>
      <x:c r="B98" s="27" t="str">
        <x:v>有色金属</x:v>
      </x:c>
      <x:c r="C98" s="27" t="n">
        <x:v>7</x:v>
      </x:c>
      <x:c r="D98" s="27" t="str">
        <x:v>1040002004</x:v>
      </x:c>
      <x:c r="E98" s="28" t="str">
        <x:v>国内现货价格:铜(1#)</x:v>
      </x:c>
      <x:c r="F98" s="28" t="str">
        <x:v>Domestic Spot Price: Copper (1 #)</x:v>
      </x:c>
      <x:c r="G98" s="27" t="str">
        <x:v>周</x:v>
      </x:c>
      <x:c r="H98" s="27" t="str">
        <x:v>元/吨</x:v>
      </x:c>
      <x:c r="I98" s="27" t="str">
        <x:v>当期值</x:v>
      </x:c>
      <x:c r="J98" s="27" t="str">
        <x:v>全国</x:v>
      </x:c>
      <x:c r="K98" s="27" t="str">
        <x:v>中国</x:v>
      </x:c>
      <x:c r="L98" s="28" t="str">
        <x:v>商务部</x:v>
      </x:c>
      <x:c r="M98" s="28" t="str">
        <x:v>getEcoDataChina</x:v>
      </x:c>
      <x:c r="N98" s="27" t="str">
        <x:v>2006-06-15</x:v>
      </x:c>
      <x:c r="O98" s="27" t="str">
        <x:v>2026-07-31</x:v>
      </x:c>
      <x:c r="P98" s="27" t="str">
        <x:v>持续更新</x:v>
      </x:c>
      <x:c r="Q98" s="27" t="str"/>
      <x:c r="R98" s="28" t="str"/>
    </x:row>
    <x:row r="99" ht="48" customHeight="1">
      <x:c r="A99" s="27" t="str">
        <x:v>801050</x:v>
      </x:c>
      <x:c r="B99" s="27" t="str">
        <x:v>有色金属</x:v>
      </x:c>
      <x:c r="C99" s="27" t="n">
        <x:v>8</x:v>
      </x:c>
      <x:c r="D99" s="27" t="str">
        <x:v>1040002005</x:v>
      </x:c>
      <x:c r="E99" s="28" t="str">
        <x:v>国内现货价格:铝(A00)</x:v>
      </x:c>
      <x:c r="F99" s="28" t="str">
        <x:v>Domestic Spot Price: Aluminum (A00)</x:v>
      </x:c>
      <x:c r="G99" s="27" t="str">
        <x:v>周</x:v>
      </x:c>
      <x:c r="H99" s="27" t="str">
        <x:v>元/吨</x:v>
      </x:c>
      <x:c r="I99" s="27" t="str">
        <x:v>当期值</x:v>
      </x:c>
      <x:c r="J99" s="27" t="str">
        <x:v>全国</x:v>
      </x:c>
      <x:c r="K99" s="27" t="str">
        <x:v>中国</x:v>
      </x:c>
      <x:c r="L99" s="28" t="str">
        <x:v>商务部</x:v>
      </x:c>
      <x:c r="M99" s="28" t="str">
        <x:v>getEcoDataChina</x:v>
      </x:c>
      <x:c r="N99" s="27" t="str">
        <x:v>2006-06-15</x:v>
      </x:c>
      <x:c r="O99" s="27" t="str">
        <x:v>2026-07-31</x:v>
      </x:c>
      <x:c r="P99" s="27" t="str">
        <x:v>持续更新</x:v>
      </x:c>
      <x:c r="Q99" s="27" t="str"/>
      <x:c r="R99" s="28" t="str"/>
    </x:row>
    <x:row r="100" ht="48" customHeight="1">
      <x:c r="A100" s="27" t="str">
        <x:v>801050</x:v>
      </x:c>
      <x:c r="B100" s="27" t="str">
        <x:v>有色金属</x:v>
      </x:c>
      <x:c r="C100" s="27" t="n">
        <x:v>9</x:v>
      </x:c>
      <x:c r="D100" s="27" t="str">
        <x:v>1040002007</x:v>
      </x:c>
      <x:c r="E100" s="28" t="str">
        <x:v>国内现货价格:锌(1#)</x:v>
      </x:c>
      <x:c r="F100" s="28" t="str">
        <x:v>Domestic Spot Price: Zinc (1 #)</x:v>
      </x:c>
      <x:c r="G100" s="27" t="str">
        <x:v>周</x:v>
      </x:c>
      <x:c r="H100" s="27" t="str">
        <x:v>元/吨</x:v>
      </x:c>
      <x:c r="I100" s="27" t="str">
        <x:v>当期值</x:v>
      </x:c>
      <x:c r="J100" s="27" t="str">
        <x:v>全国</x:v>
      </x:c>
      <x:c r="K100" s="27" t="str">
        <x:v>中国</x:v>
      </x:c>
      <x:c r="L100" s="28" t="str">
        <x:v>商务部</x:v>
      </x:c>
      <x:c r="M100" s="28" t="str">
        <x:v>getEcoDataChina</x:v>
      </x:c>
      <x:c r="N100" s="27" t="str">
        <x:v>2006-06-15</x:v>
      </x:c>
      <x:c r="O100" s="27" t="str">
        <x:v>2026-07-31</x:v>
      </x:c>
      <x:c r="P100" s="27" t="str">
        <x:v>持续更新</x:v>
      </x:c>
      <x:c r="Q100" s="27" t="str"/>
      <x:c r="R100" s="28" t="str"/>
    </x:row>
    <x:row r="101" ht="48" customHeight="1">
      <x:c r="A101" s="27" t="str">
        <x:v>801050</x:v>
      </x:c>
      <x:c r="B101" s="27" t="str">
        <x:v>有色金属</x:v>
      </x:c>
      <x:c r="C101" s="27" t="n">
        <x:v>10</x:v>
      </x:c>
      <x:c r="D101" s="27" t="str">
        <x:v>1040005228</x:v>
      </x:c>
      <x:c r="E101" s="28" t="str">
        <x:v>国际现货价格:白银(英)</x:v>
      </x:c>
      <x:c r="F101" s="28" t="str">
        <x:v>International Spot Price: Silver</x:v>
      </x:c>
      <x:c r="G101" s="27" t="str">
        <x:v>周</x:v>
      </x:c>
      <x:c r="H101" s="27" t="str">
        <x:v>美分/盎司</x:v>
      </x:c>
      <x:c r="I101" s="27" t="str">
        <x:v>当期值</x:v>
      </x:c>
      <x:c r="J101" s="27" t="str">
        <x:v>全国</x:v>
      </x:c>
      <x:c r="K101" s="27" t="str">
        <x:v>中国</x:v>
      </x:c>
      <x:c r="L101" s="28" t="str">
        <x:v>商务部</x:v>
      </x:c>
      <x:c r="M101" s="28" t="str">
        <x:v>getEcoDataChina</x:v>
      </x:c>
      <x:c r="N101" s="27" t="str">
        <x:v>2005-01-21</x:v>
      </x:c>
      <x:c r="O101" s="27" t="str">
        <x:v>2026-07-31</x:v>
      </x:c>
      <x:c r="P101" s="27" t="str">
        <x:v>持续更新</x:v>
      </x:c>
      <x:c r="Q101" s="27" t="str"/>
      <x:c r="R101" s="28" t="str"/>
    </x:row>
    <x:row r="102" ht="48" customHeight="1">
      <x:c r="A102" s="27" t="str">
        <x:v>801050</x:v>
      </x:c>
      <x:c r="B102" s="27" t="str">
        <x:v>有色金属</x:v>
      </x:c>
      <x:c r="C102" s="27" t="n">
        <x:v>11</x:v>
      </x:c>
      <x:c r="D102" s="27" t="str">
        <x:v>1040005219</x:v>
      </x:c>
      <x:c r="E102" s="28" t="str">
        <x:v>国际现货价格:铜(A级)</x:v>
      </x:c>
      <x:c r="F102" s="28" t="str">
        <x:v>International Spot Price: Copper (Grade A)</x:v>
      </x:c>
      <x:c r="G102" s="27" t="str">
        <x:v>周</x:v>
      </x:c>
      <x:c r="H102" s="27" t="str">
        <x:v>美元/吨</x:v>
      </x:c>
      <x:c r="I102" s="27" t="str">
        <x:v>当期值</x:v>
      </x:c>
      <x:c r="J102" s="27" t="str">
        <x:v>全国</x:v>
      </x:c>
      <x:c r="K102" s="27" t="str">
        <x:v>中国</x:v>
      </x:c>
      <x:c r="L102" s="28" t="str">
        <x:v>商务部</x:v>
      </x:c>
      <x:c r="M102" s="28" t="str">
        <x:v>getEcoDataChina</x:v>
      </x:c>
      <x:c r="N102" s="27" t="str">
        <x:v>2005-01-21</x:v>
      </x:c>
      <x:c r="O102" s="27" t="str">
        <x:v>2026-07-31</x:v>
      </x:c>
      <x:c r="P102" s="27" t="str">
        <x:v>持续更新</x:v>
      </x:c>
      <x:c r="Q102" s="27" t="str"/>
      <x:c r="R102" s="28" t="str"/>
    </x:row>
    <x:row r="103" ht="48" customHeight="1">
      <x:c r="A103" s="27" t="str">
        <x:v>801050</x:v>
      </x:c>
      <x:c r="B103" s="27" t="str">
        <x:v>有色金属</x:v>
      </x:c>
      <x:c r="C103" s="27" t="n">
        <x:v>12</x:v>
      </x:c>
      <x:c r="D103" s="27" t="str">
        <x:v>1040005222</x:v>
      </x:c>
      <x:c r="E103" s="28" t="str">
        <x:v>国际现货价格:铝</x:v>
      </x:c>
      <x:c r="F103" s="28" t="str">
        <x:v>International Spot Price: Aluminum</x:v>
      </x:c>
      <x:c r="G103" s="27" t="str">
        <x:v>周</x:v>
      </x:c>
      <x:c r="H103" s="27" t="str">
        <x:v>美元/吨</x:v>
      </x:c>
      <x:c r="I103" s="27" t="str">
        <x:v>当期值</x:v>
      </x:c>
      <x:c r="J103" s="27" t="str">
        <x:v>全国</x:v>
      </x:c>
      <x:c r="K103" s="27" t="str">
        <x:v>中国</x:v>
      </x:c>
      <x:c r="L103" s="28" t="str">
        <x:v>商务部</x:v>
      </x:c>
      <x:c r="M103" s="28" t="str">
        <x:v>getEcoDataChina</x:v>
      </x:c>
      <x:c r="N103" s="27" t="str">
        <x:v>2005-01-21</x:v>
      </x:c>
      <x:c r="O103" s="27" t="str">
        <x:v>2026-07-31</x:v>
      </x:c>
      <x:c r="P103" s="27" t="str">
        <x:v>持续更新</x:v>
      </x:c>
      <x:c r="Q103" s="27" t="str"/>
      <x:c r="R103" s="28" t="str"/>
    </x:row>
    <x:row r="104" ht="48" customHeight="1">
      <x:c r="A104" s="27" t="str">
        <x:v>801050</x:v>
      </x:c>
      <x:c r="B104" s="27" t="str">
        <x:v>有色金属</x:v>
      </x:c>
      <x:c r="C104" s="27" t="n">
        <x:v>13</x:v>
      </x:c>
      <x:c r="D104" s="27" t="str">
        <x:v>1040005229</x:v>
      </x:c>
      <x:c r="E104" s="28" t="str">
        <x:v>国际现货价格:铝合金</x:v>
      </x:c>
      <x:c r="F104" s="28" t="str">
        <x:v>International Spot Price: Aluminum Alloy</x:v>
      </x:c>
      <x:c r="G104" s="27" t="str">
        <x:v>周</x:v>
      </x:c>
      <x:c r="H104" s="27" t="str">
        <x:v>美元/吨</x:v>
      </x:c>
      <x:c r="I104" s="27" t="str">
        <x:v>当期值</x:v>
      </x:c>
      <x:c r="J104" s="27" t="str">
        <x:v>全国</x:v>
      </x:c>
      <x:c r="K104" s="27" t="str">
        <x:v>中国</x:v>
      </x:c>
      <x:c r="L104" s="28" t="str">
        <x:v>商务部</x:v>
      </x:c>
      <x:c r="M104" s="28" t="str">
        <x:v>getEcoDataChina</x:v>
      </x:c>
      <x:c r="N104" s="27" t="str">
        <x:v>2005-01-21</x:v>
      </x:c>
      <x:c r="O104" s="27" t="str">
        <x:v>2026-07-31</x:v>
      </x:c>
      <x:c r="P104" s="27" t="str">
        <x:v>持续更新</x:v>
      </x:c>
      <x:c r="Q104" s="27" t="str"/>
      <x:c r="R104" s="28" t="str"/>
    </x:row>
    <x:row r="105" ht="48" customHeight="1">
      <x:c r="A105" s="27" t="str">
        <x:v>801050</x:v>
      </x:c>
      <x:c r="B105" s="27" t="str">
        <x:v>有色金属</x:v>
      </x:c>
      <x:c r="C105" s="27" t="n">
        <x:v>14</x:v>
      </x:c>
      <x:c r="D105" s="27" t="str">
        <x:v>1040005221</x:v>
      </x:c>
      <x:c r="E105" s="28" t="str">
        <x:v>国际现货价格:锌</x:v>
      </x:c>
      <x:c r="F105" s="28" t="str">
        <x:v>International Spot Price: Zinc</x:v>
      </x:c>
      <x:c r="G105" s="27" t="str">
        <x:v>周</x:v>
      </x:c>
      <x:c r="H105" s="27" t="str">
        <x:v>美元/吨</x:v>
      </x:c>
      <x:c r="I105" s="27" t="str">
        <x:v>当期值</x:v>
      </x:c>
      <x:c r="J105" s="27" t="str">
        <x:v>全国</x:v>
      </x:c>
      <x:c r="K105" s="27" t="str">
        <x:v>中国</x:v>
      </x:c>
      <x:c r="L105" s="28" t="str">
        <x:v>商务部</x:v>
      </x:c>
      <x:c r="M105" s="28" t="str">
        <x:v>getEcoDataChina</x:v>
      </x:c>
      <x:c r="N105" s="27" t="str">
        <x:v>2005-01-21</x:v>
      </x:c>
      <x:c r="O105" s="27" t="str">
        <x:v>2026-07-31</x:v>
      </x:c>
      <x:c r="P105" s="27" t="str">
        <x:v>持续更新</x:v>
      </x:c>
      <x:c r="Q105" s="27" t="str"/>
      <x:c r="R105" s="28" t="str"/>
    </x:row>
    <x:row r="106" ht="48" customHeight="1">
      <x:c r="A106" s="27" t="str">
        <x:v>801050</x:v>
      </x:c>
      <x:c r="B106" s="27" t="str">
        <x:v>有色金属</x:v>
      </x:c>
      <x:c r="C106" s="27" t="n">
        <x:v>15</x:v>
      </x:c>
      <x:c r="D106" s="27" t="str">
        <x:v>1040005223</x:v>
      </x:c>
      <x:c r="E106" s="28" t="str">
        <x:v>国际现货价格:镍</x:v>
      </x:c>
      <x:c r="F106" s="28" t="str">
        <x:v>International Spot Price: Nickel</x:v>
      </x:c>
      <x:c r="G106" s="27" t="str">
        <x:v>周</x:v>
      </x:c>
      <x:c r="H106" s="27" t="str">
        <x:v>美元/吨</x:v>
      </x:c>
      <x:c r="I106" s="27" t="str">
        <x:v>当期值</x:v>
      </x:c>
      <x:c r="J106" s="27" t="str">
        <x:v>全国</x:v>
      </x:c>
      <x:c r="K106" s="27" t="str">
        <x:v>中国</x:v>
      </x:c>
      <x:c r="L106" s="28" t="str">
        <x:v>商务部</x:v>
      </x:c>
      <x:c r="M106" s="28" t="str">
        <x:v>getEcoDataChina</x:v>
      </x:c>
      <x:c r="N106" s="27" t="str">
        <x:v>2005-01-21</x:v>
      </x:c>
      <x:c r="O106" s="27" t="str">
        <x:v>2026-07-31</x:v>
      </x:c>
      <x:c r="P106" s="27" t="str">
        <x:v>持续更新</x:v>
      </x:c>
      <x:c r="Q106" s="27" t="str"/>
      <x:c r="R106" s="28" t="str"/>
    </x:row>
    <x:row r="107" ht="48" customHeight="1">
      <x:c r="A107" s="27" t="str">
        <x:v>801050</x:v>
      </x:c>
      <x:c r="B107" s="27" t="str">
        <x:v>有色金属</x:v>
      </x:c>
      <x:c r="C107" s="27" t="n">
        <x:v>16</x:v>
      </x:c>
      <x:c r="D107" s="27" t="str">
        <x:v>1040005227</x:v>
      </x:c>
      <x:c r="E107" s="28" t="str">
        <x:v>国际现货价格:黄金(英)</x:v>
      </x:c>
      <x:c r="F107" s="28" t="str">
        <x:v>International Spot Price: Gold (English)</x:v>
      </x:c>
      <x:c r="G107" s="27" t="str">
        <x:v>周</x:v>
      </x:c>
      <x:c r="H107" s="27" t="str">
        <x:v>美元/盎司</x:v>
      </x:c>
      <x:c r="I107" s="27" t="str">
        <x:v>当期值</x:v>
      </x:c>
      <x:c r="J107" s="27" t="str">
        <x:v>全国</x:v>
      </x:c>
      <x:c r="K107" s="27" t="str">
        <x:v>中国</x:v>
      </x:c>
      <x:c r="L107" s="28" t="str">
        <x:v>商务部</x:v>
      </x:c>
      <x:c r="M107" s="28" t="str">
        <x:v>getEcoDataChina</x:v>
      </x:c>
      <x:c r="N107" s="27" t="str">
        <x:v>2005-01-21</x:v>
      </x:c>
      <x:c r="O107" s="27" t="str">
        <x:v>2026-07-31</x:v>
      </x:c>
      <x:c r="P107" s="27" t="str">
        <x:v>持续更新</x:v>
      </x:c>
      <x:c r="Q107" s="27" t="str"/>
      <x:c r="R107" s="28" t="str"/>
    </x:row>
    <x:row r="108" ht="48" customHeight="1">
      <x:c r="A108" s="27" t="str">
        <x:v>801050</x:v>
      </x:c>
      <x:c r="B108" s="27" t="str">
        <x:v>有色金属</x:v>
      </x:c>
      <x:c r="C108" s="27" t="n">
        <x:v>17</x:v>
      </x:c>
      <x:c r="D108" s="27" t="str">
        <x:v>2030767397</x:v>
      </x:c>
      <x:c r="E108" s="28" t="str">
        <x:v>出口金额(美元):人造刚玉;氧化铝;氢氧化铝(2818):当月值</x:v>
      </x:c>
      <x:c r="F108" s="28" t="str">
        <x:v>Export Value (USD): Artificial Corundum;Alumina;Aluminum Hydroxide(2818): Current Month Value</x:v>
      </x:c>
      <x:c r="G108" s="27" t="str">
        <x:v>月</x:v>
      </x:c>
      <x:c r="H108" s="27" t="str">
        <x:v>美元</x:v>
      </x:c>
      <x:c r="I108" s="27" t="str">
        <x:v>当期值</x:v>
      </x:c>
      <x:c r="J108" s="27" t="str">
        <x:v>中国</x:v>
      </x:c>
      <x:c r="K108" s="27" t="str">
        <x:v>中国</x:v>
      </x:c>
      <x:c r="L108" s="28" t="str">
        <x:v>海关总署</x:v>
      </x:c>
      <x:c r="M108" s="28" t="str">
        <x:v>getEcoDataIndChemical</x:v>
      </x:c>
      <x:c r="N108" s="27" t="str">
        <x:v>2015-01-31</x:v>
      </x:c>
      <x:c r="O108" s="27" t="str">
        <x:v>2026-06-30</x:v>
      </x:c>
      <x:c r="P108" s="27" t="str">
        <x:v>持续更新</x:v>
      </x:c>
      <x:c r="Q108" s="27" t="str"/>
      <x:c r="R108" s="28" t="str"/>
    </x:row>
    <x:row r="109" ht="48" customHeight="1">
      <x:c r="A109" s="27" t="str">
        <x:v>801050</x:v>
      </x:c>
      <x:c r="B109" s="27" t="str">
        <x:v>有色金属</x:v>
      </x:c>
      <x:c r="C109" s="27" t="n">
        <x:v>18</x:v>
      </x:c>
      <x:c r="D109" s="27" t="str">
        <x:v>1040005478</x:v>
      </x:c>
      <x:c r="E109" s="28" t="str">
        <x:v>生产资料价格:有色金属:铅:1#铅锭:当月值</x:v>
      </x:c>
      <x:c r="F109" s="28" t="str">
        <x:v>Price of Means of Production: Non-ferrous Metals: Lead: Lead Ingot 1#: Current</x:v>
      </x:c>
      <x:c r="G109" s="27" t="str">
        <x:v>月</x:v>
      </x:c>
      <x:c r="H109" s="27" t="str">
        <x:v>元/吨</x:v>
      </x:c>
      <x:c r="I109" s="27" t="str">
        <x:v>当期值</x:v>
      </x:c>
      <x:c r="J109" s="27" t="str">
        <x:v>全国</x:v>
      </x:c>
      <x:c r="K109" s="27" t="str">
        <x:v>中国</x:v>
      </x:c>
      <x:c r="L109" s="28" t="str">
        <x:v>发改委</x:v>
      </x:c>
      <x:c r="M109" s="28" t="str">
        <x:v>getEcoDataChina</x:v>
      </x:c>
      <x:c r="N109" s="27" t="str">
        <x:v>2015-05-31</x:v>
      </x:c>
      <x:c r="O109" s="27" t="str">
        <x:v>2026-06-30</x:v>
      </x:c>
      <x:c r="P109" s="27" t="str">
        <x:v>持续更新</x:v>
      </x:c>
      <x:c r="Q109" s="27" t="str"/>
      <x:c r="R109" s="28" t="str"/>
    </x:row>
    <x:row r="110" ht="48" customHeight="1">
      <x:c r="A110" s="27" t="str">
        <x:v>801050</x:v>
      </x:c>
      <x:c r="B110" s="27" t="str">
        <x:v>有色金属</x:v>
      </x:c>
      <x:c r="C110" s="27" t="n">
        <x:v>19</x:v>
      </x:c>
      <x:c r="D110" s="27" t="str">
        <x:v>1040005481</x:v>
      </x:c>
      <x:c r="E110" s="28" t="str">
        <x:v>生产资料价格:有色金属:铜:1#电解铜,阴极铜:当月值</x:v>
      </x:c>
      <x:c r="F110" s="28" t="str">
        <x:v>Price of Means of Production: Non-ferrous Metals: Copper: 1# Electrolytic Copper, Copper Cathodes: Current</x:v>
      </x:c>
      <x:c r="G110" s="27" t="str">
        <x:v>月</x:v>
      </x:c>
      <x:c r="H110" s="27" t="str">
        <x:v>元/吨</x:v>
      </x:c>
      <x:c r="I110" s="27" t="str">
        <x:v>当期值</x:v>
      </x:c>
      <x:c r="J110" s="27" t="str">
        <x:v>全国</x:v>
      </x:c>
      <x:c r="K110" s="27" t="str">
        <x:v>中国</x:v>
      </x:c>
      <x:c r="L110" s="28" t="str">
        <x:v>发改委</x:v>
      </x:c>
      <x:c r="M110" s="28" t="str">
        <x:v>getEcoDataChina</x:v>
      </x:c>
      <x:c r="N110" s="27" t="str">
        <x:v>2015-05-31</x:v>
      </x:c>
      <x:c r="O110" s="27" t="str">
        <x:v>2026-06-30</x:v>
      </x:c>
      <x:c r="P110" s="27" t="str">
        <x:v>持续更新</x:v>
      </x:c>
      <x:c r="Q110" s="27" t="str"/>
      <x:c r="R110" s="28" t="str"/>
    </x:row>
    <x:row r="111" ht="48" customHeight="1">
      <x:c r="A111" s="27" t="str">
        <x:v>801050</x:v>
      </x:c>
      <x:c r="B111" s="27" t="str">
        <x:v>有色金属</x:v>
      </x:c>
      <x:c r="C111" s="27" t="n">
        <x:v>20</x:v>
      </x:c>
      <x:c r="D111" s="27" t="str">
        <x:v>1040005472</x:v>
      </x:c>
      <x:c r="E111" s="28" t="str">
        <x:v>生产资料价格:有色金属:铝:AOO铝锭:当月值</x:v>
      </x:c>
      <x:c r="F111" s="28" t="str">
        <x:v>Price of Means of Production: Non-ferrous Metals: Aluminium: AOO Aluminum Ingot: Current</x:v>
      </x:c>
      <x:c r="G111" s="27" t="str">
        <x:v>月</x:v>
      </x:c>
      <x:c r="H111" s="27" t="str">
        <x:v>元/吨</x:v>
      </x:c>
      <x:c r="I111" s="27" t="str">
        <x:v>当期值</x:v>
      </x:c>
      <x:c r="J111" s="27" t="str">
        <x:v>全国</x:v>
      </x:c>
      <x:c r="K111" s="27" t="str">
        <x:v>中国</x:v>
      </x:c>
      <x:c r="L111" s="28" t="str">
        <x:v>发改委</x:v>
      </x:c>
      <x:c r="M111" s="28" t="str">
        <x:v>getEcoDataChina</x:v>
      </x:c>
      <x:c r="N111" s="27" t="str">
        <x:v>2015-05-31</x:v>
      </x:c>
      <x:c r="O111" s="27" t="str">
        <x:v>2026-06-30</x:v>
      </x:c>
      <x:c r="P111" s="27" t="str">
        <x:v>持续更新</x:v>
      </x:c>
      <x:c r="Q111" s="27" t="str"/>
      <x:c r="R111" s="28" t="str"/>
    </x:row>
    <x:row r="112" ht="48" customHeight="1">
      <x:c r="A112" s="27" t="str">
        <x:v>801050</x:v>
      </x:c>
      <x:c r="B112" s="27" t="str">
        <x:v>有色金属</x:v>
      </x:c>
      <x:c r="C112" s="27" t="n">
        <x:v>21</x:v>
      </x:c>
      <x:c r="D112" s="27" t="str">
        <x:v>1040005487</x:v>
      </x:c>
      <x:c r="E112" s="28" t="str">
        <x:v>生产资料价格:有色金属:锌:0#锌锭:当月值</x:v>
      </x:c>
      <x:c r="F112" s="28" t="str">
        <x:v>Price of Means of Production: Non-ferrous Metals: Zinc: 0 # Zinc Ingot: Current</x:v>
      </x:c>
      <x:c r="G112" s="27" t="str">
        <x:v>月</x:v>
      </x:c>
      <x:c r="H112" s="27" t="str">
        <x:v>元/吨</x:v>
      </x:c>
      <x:c r="I112" s="27" t="str">
        <x:v>当期值</x:v>
      </x:c>
      <x:c r="J112" s="27" t="str">
        <x:v>全国</x:v>
      </x:c>
      <x:c r="K112" s="27" t="str">
        <x:v>中国</x:v>
      </x:c>
      <x:c r="L112" s="28" t="str">
        <x:v>发改委</x:v>
      </x:c>
      <x:c r="M112" s="28" t="str">
        <x:v>getEcoDataChina</x:v>
      </x:c>
      <x:c r="N112" s="27" t="str">
        <x:v>2015-05-31</x:v>
      </x:c>
      <x:c r="O112" s="27" t="str">
        <x:v>2026-06-30</x:v>
      </x:c>
      <x:c r="P112" s="27" t="str">
        <x:v>持续更新</x:v>
      </x:c>
      <x:c r="Q112" s="27" t="str"/>
      <x:c r="R112" s="28" t="str"/>
    </x:row>
    <x:row r="113" ht="48" customHeight="1">
      <x:c r="A113" s="27" t="str">
        <x:v>801050</x:v>
      </x:c>
      <x:c r="B113" s="27" t="str">
        <x:v>有色金属</x:v>
      </x:c>
      <x:c r="C113" s="27" t="n">
        <x:v>22</x:v>
      </x:c>
      <x:c r="D113" s="27" t="str">
        <x:v>1040005484</x:v>
      </x:c>
      <x:c r="E113" s="28" t="str">
        <x:v>生产资料价格:有色金属:锡:1#锡锭:当月值</x:v>
      </x:c>
      <x:c r="F113" s="28" t="str">
        <x:v>Price of Means of Production: Non-ferrous Metals: Tin: Tin Ingot 1#: Current</x:v>
      </x:c>
      <x:c r="G113" s="27" t="str">
        <x:v>月</x:v>
      </x:c>
      <x:c r="H113" s="27" t="str">
        <x:v>元/吨</x:v>
      </x:c>
      <x:c r="I113" s="27" t="str">
        <x:v>当期值</x:v>
      </x:c>
      <x:c r="J113" s="27" t="str">
        <x:v>全国</x:v>
      </x:c>
      <x:c r="K113" s="27" t="str">
        <x:v>中国</x:v>
      </x:c>
      <x:c r="L113" s="28" t="str">
        <x:v>发改委</x:v>
      </x:c>
      <x:c r="M113" s="28" t="str">
        <x:v>getEcoDataChina</x:v>
      </x:c>
      <x:c r="N113" s="27" t="str">
        <x:v>2015-05-31</x:v>
      </x:c>
      <x:c r="O113" s="27" t="str">
        <x:v>2026-06-30</x:v>
      </x:c>
      <x:c r="P113" s="27" t="str">
        <x:v>持续更新</x:v>
      </x:c>
      <x:c r="Q113" s="27" t="str"/>
      <x:c r="R113" s="28" t="str"/>
    </x:row>
    <x:row r="114" ht="48" customHeight="1">
      <x:c r="A114" s="27" t="str">
        <x:v>801050</x:v>
      </x:c>
      <x:c r="B114" s="27" t="str">
        <x:v>有色金属</x:v>
      </x:c>
      <x:c r="C114" s="27" t="n">
        <x:v>23</x:v>
      </x:c>
      <x:c r="D114" s="27" t="str">
        <x:v>1040005475</x:v>
      </x:c>
      <x:c r="E114" s="28" t="str">
        <x:v>生产资料价格:有色金属:镍:1#:当月值</x:v>
      </x:c>
      <x:c r="F114" s="28" t="str">
        <x:v>Price of Means of Production: Non-ferrous Metals: Nickel: 1#: Current</x:v>
      </x:c>
      <x:c r="G114" s="27" t="str">
        <x:v>月</x:v>
      </x:c>
      <x:c r="H114" s="27" t="str">
        <x:v>元/吨</x:v>
      </x:c>
      <x:c r="I114" s="27" t="str">
        <x:v>当期值</x:v>
      </x:c>
      <x:c r="J114" s="27" t="str">
        <x:v>全国</x:v>
      </x:c>
      <x:c r="K114" s="27" t="str">
        <x:v>中国</x:v>
      </x:c>
      <x:c r="L114" s="28" t="str">
        <x:v>发改委</x:v>
      </x:c>
      <x:c r="M114" s="28" t="str">
        <x:v>getEcoDataChina</x:v>
      </x:c>
      <x:c r="N114" s="27" t="str">
        <x:v>2015-05-31</x:v>
      </x:c>
      <x:c r="O114" s="27" t="str">
        <x:v>2026-06-30</x:v>
      </x:c>
      <x:c r="P114" s="27" t="str">
        <x:v>持续更新</x:v>
      </x:c>
      <x:c r="Q114" s="27" t="str"/>
      <x:c r="R114" s="28" t="str"/>
    </x:row>
    <x:row r="115" ht="48" customHeight="1">
      <x:c r="A115" s="27" t="str">
        <x:v>801050</x:v>
      </x:c>
      <x:c r="B115" s="27" t="str">
        <x:v>有色金属</x:v>
      </x:c>
      <x:c r="C115" s="27" t="n">
        <x:v>24</x:v>
      </x:c>
      <x:c r="D115" s="27" t="str">
        <x:v>2030767399</x:v>
      </x:c>
      <x:c r="E115" s="28" t="str">
        <x:v>进出口金额(美元):人造刚玉;氧化铝;氢氧化铝(2818):当月值</x:v>
      </x:c>
      <x:c r="F115" s="28" t="str">
        <x:v>Import And Export Value (USD): Artificial Corundum;Alumina;Aluminum Hydroxide(2818): Current Month Value</x:v>
      </x:c>
      <x:c r="G115" s="27" t="str">
        <x:v>月</x:v>
      </x:c>
      <x:c r="H115" s="27" t="str">
        <x:v>美元</x:v>
      </x:c>
      <x:c r="I115" s="27" t="str">
        <x:v>当期值</x:v>
      </x:c>
      <x:c r="J115" s="27" t="str">
        <x:v>中国</x:v>
      </x:c>
      <x:c r="K115" s="27" t="str">
        <x:v>中国</x:v>
      </x:c>
      <x:c r="L115" s="28" t="str">
        <x:v>海关总署</x:v>
      </x:c>
      <x:c r="M115" s="28" t="str">
        <x:v>getEcoDataIndChemical</x:v>
      </x:c>
      <x:c r="N115" s="27" t="str">
        <x:v>2015-01-31</x:v>
      </x:c>
      <x:c r="O115" s="27" t="str">
        <x:v>2026-06-30</x:v>
      </x:c>
      <x:c r="P115" s="27" t="str">
        <x:v>持续更新</x:v>
      </x:c>
      <x:c r="Q115" s="27" t="str"/>
      <x:c r="R115" s="28" t="str"/>
    </x:row>
    <x:row r="116" ht="48" customHeight="1">
      <x:c r="A116" s="27" t="str">
        <x:v>801050</x:v>
      </x:c>
      <x:c r="B116" s="27" t="str">
        <x:v>有色金属</x:v>
      </x:c>
      <x:c r="C116" s="27" t="n">
        <x:v>25</x:v>
      </x:c>
      <x:c r="D116" s="27" t="str">
        <x:v>2030767398</x:v>
      </x:c>
      <x:c r="E116" s="28" t="str">
        <x:v>进口金额(美元):人造刚玉;氧化铝;氢氧化铝(2818):当月值</x:v>
      </x:c>
      <x:c r="F116" s="28" t="str">
        <x:v>Import Value (USD): Artificial Corundum;Alumina;Aluminum Hydroxide(2818): Current Month Value</x:v>
      </x:c>
      <x:c r="G116" s="27" t="str">
        <x:v>月</x:v>
      </x:c>
      <x:c r="H116" s="27" t="str">
        <x:v>美元</x:v>
      </x:c>
      <x:c r="I116" s="27" t="str">
        <x:v>当期值</x:v>
      </x:c>
      <x:c r="J116" s="27" t="str">
        <x:v>中国</x:v>
      </x:c>
      <x:c r="K116" s="27" t="str">
        <x:v>中国</x:v>
      </x:c>
      <x:c r="L116" s="28" t="str">
        <x:v>海关总署</x:v>
      </x:c>
      <x:c r="M116" s="28" t="str">
        <x:v>getEcoDataIndChemical</x:v>
      </x:c>
      <x:c r="N116" s="27" t="str">
        <x:v>2015-01-31</x:v>
      </x:c>
      <x:c r="O116" s="27" t="str">
        <x:v>2026-06-30</x:v>
      </x:c>
      <x:c r="P116" s="27" t="str">
        <x:v>持续更新</x:v>
      </x:c>
      <x:c r="Q116" s="27" t="str"/>
      <x:c r="R116" s="28" t="str"/>
    </x:row>
    <x:row r="117" ht="48" customHeight="1">
      <x:c r="A117" s="27" t="str">
        <x:v>801050</x:v>
      </x:c>
      <x:c r="B117" s="27" t="str">
        <x:v>有色金属</x:v>
      </x:c>
      <x:c r="C117" s="27" t="n">
        <x:v>26</x:v>
      </x:c>
      <x:c r="D117" s="27" t="str">
        <x:v>1020001631</x:v>
      </x:c>
      <x:c r="E117" s="28" t="str">
        <x:v>产量:十种有色金属:当月同比</x:v>
      </x:c>
      <x:c r="F117" s="28" t="str">
        <x:v>Output: Ten Non-Ferrous Metals: YoY</x:v>
      </x:c>
      <x:c r="G117" s="27" t="str">
        <x:v>月</x:v>
      </x:c>
      <x:c r="H117" s="27" t="str">
        <x:v>%</x:v>
      </x:c>
      <x:c r="I117" s="27" t="str">
        <x:v>当期同比</x:v>
      </x:c>
      <x:c r="J117" s="27" t="str">
        <x:v>全国</x:v>
      </x:c>
      <x:c r="K117" s="27" t="str">
        <x:v>中国</x:v>
      </x:c>
      <x:c r="L117" s="28" t="str">
        <x:v>国家统计局</x:v>
      </x:c>
      <x:c r="M117" s="28" t="str">
        <x:v>getEcoDataChina</x:v>
      </x:c>
      <x:c r="N117" s="27" t="str">
        <x:v>1997-02-28</x:v>
      </x:c>
      <x:c r="O117" s="27" t="str">
        <x:v>2026-06-30</x:v>
      </x:c>
      <x:c r="P117" s="27" t="str">
        <x:v>持续更新</x:v>
      </x:c>
      <x:c r="Q117" s="27" t="str"/>
      <x:c r="R117" s="28" t="str"/>
    </x:row>
    <x:row r="118" ht="48" customHeight="1">
      <x:c r="A118" s="27" t="str">
        <x:v>801050</x:v>
      </x:c>
      <x:c r="B118" s="27" t="str">
        <x:v>有色金属</x:v>
      </x:c>
      <x:c r="C118" s="27" t="n">
        <x:v>27</x:v>
      </x:c>
      <x:c r="D118" s="27" t="str">
        <x:v>1020008741</x:v>
      </x:c>
      <x:c r="E118" s="28" t="str">
        <x:v>产量:原铝(电解铝):当月同比</x:v>
      </x:c>
      <x:c r="F118" s="28" t="str">
        <x:v>Output: Ten Non-Ferrous Metals: Primary Aluminum (Electrolytic Aluminum): Month YoY</x:v>
      </x:c>
      <x:c r="G118" s="27" t="str">
        <x:v>月</x:v>
      </x:c>
      <x:c r="H118" s="27" t="str">
        <x:v>%</x:v>
      </x:c>
      <x:c r="I118" s="27" t="str">
        <x:v>当期同比</x:v>
      </x:c>
      <x:c r="J118" s="27" t="str">
        <x:v>全国</x:v>
      </x:c>
      <x:c r="K118" s="27" t="str">
        <x:v>中国</x:v>
      </x:c>
      <x:c r="L118" s="28" t="str">
        <x:v>国家统计局</x:v>
      </x:c>
      <x:c r="M118" s="28" t="str">
        <x:v>getEcoDataChina</x:v>
      </x:c>
      <x:c r="N118" s="27" t="str">
        <x:v>2002-04-30</x:v>
      </x:c>
      <x:c r="O118" s="27" t="str">
        <x:v>2026-06-30</x:v>
      </x:c>
      <x:c r="P118" s="27" t="str">
        <x:v>持续更新</x:v>
      </x:c>
      <x:c r="Q118" s="27" t="str"/>
      <x:c r="R118" s="28" t="str"/>
    </x:row>
    <x:row r="119" ht="48" customHeight="1">
      <x:c r="A119" s="27" t="str">
        <x:v>801050</x:v>
      </x:c>
      <x:c r="B119" s="27" t="str">
        <x:v>有色金属</x:v>
      </x:c>
      <x:c r="C119" s="27" t="n">
        <x:v>28</x:v>
      </x:c>
      <x:c r="D119" s="27" t="str">
        <x:v>1020008681</x:v>
      </x:c>
      <x:c r="E119" s="28" t="str">
        <x:v>产量:精炼铜(电解铜):当月值</x:v>
      </x:c>
      <x:c r="F119" s="28" t="str">
        <x:v>Output: Ten Kinds of Non-Ferrous Metals: Refined Copper (Electrolyzed Copper): Current Value (Month)</x:v>
      </x:c>
      <x:c r="G119" s="27" t="str">
        <x:v>月</x:v>
      </x:c>
      <x:c r="H119" s="27" t="str">
        <x:v>万吨</x:v>
      </x:c>
      <x:c r="I119" s="27" t="str">
        <x:v>当期值</x:v>
      </x:c>
      <x:c r="J119" s="27" t="str">
        <x:v>全国</x:v>
      </x:c>
      <x:c r="K119" s="27" t="str">
        <x:v>中国</x:v>
      </x:c>
      <x:c r="L119" s="28" t="str">
        <x:v>国家统计局</x:v>
      </x:c>
      <x:c r="M119" s="28" t="str">
        <x:v>getEcoDataChina</x:v>
      </x:c>
      <x:c r="N119" s="27" t="str">
        <x:v>1989-01-31</x:v>
      </x:c>
      <x:c r="O119" s="27" t="str">
        <x:v>2026-06-30</x:v>
      </x:c>
      <x:c r="P119" s="27" t="str">
        <x:v>持续更新</x:v>
      </x:c>
      <x:c r="Q119" s="27" t="str"/>
      <x:c r="R119" s="28" t="str"/>
    </x:row>
    <x:row r="120" ht="48" customHeight="1">
      <x:c r="A120" s="27" t="str">
        <x:v>801050</x:v>
      </x:c>
      <x:c r="B120" s="27" t="str">
        <x:v>有色金属</x:v>
      </x:c>
      <x:c r="C120" s="27" t="n">
        <x:v>29</x:v>
      </x:c>
      <x:c r="D120" s="27" t="str">
        <x:v>1020008682</x:v>
      </x:c>
      <x:c r="E120" s="28" t="str">
        <x:v>产量:铅:当月值</x:v>
      </x:c>
      <x:c r="F120" s="28" t="str">
        <x:v>Output: Ten Kinds of Non-Ferrous Metals: Lead: Current Value (Month)</x:v>
      </x:c>
      <x:c r="G120" s="27" t="str">
        <x:v>月</x:v>
      </x:c>
      <x:c r="H120" s="27" t="str">
        <x:v>万吨</x:v>
      </x:c>
      <x:c r="I120" s="27" t="str">
        <x:v>当期值</x:v>
      </x:c>
      <x:c r="J120" s="27" t="str">
        <x:v>全国</x:v>
      </x:c>
      <x:c r="K120" s="27" t="str">
        <x:v>中国</x:v>
      </x:c>
      <x:c r="L120" s="28" t="str">
        <x:v>国家统计局</x:v>
      </x:c>
      <x:c r="M120" s="28" t="str">
        <x:v>getEcoDataChina</x:v>
      </x:c>
      <x:c r="N120" s="27" t="str">
        <x:v>1995-01-31</x:v>
      </x:c>
      <x:c r="O120" s="27" t="str">
        <x:v>2026-06-30</x:v>
      </x:c>
      <x:c r="P120" s="27" t="str">
        <x:v>持续更新</x:v>
      </x:c>
      <x:c r="Q120" s="27" t="str"/>
      <x:c r="R120" s="28" t="str"/>
    </x:row>
    <x:row r="121" ht="48" customHeight="1">
      <x:c r="A121" s="27" t="str">
        <x:v>801050</x:v>
      </x:c>
      <x:c r="B121" s="27" t="str">
        <x:v>有色金属</x:v>
      </x:c>
      <x:c r="C121" s="27" t="n">
        <x:v>30</x:v>
      </x:c>
      <x:c r="D121" s="27" t="str">
        <x:v>1020001568</x:v>
      </x:c>
      <x:c r="E121" s="28" t="str">
        <x:v>产量:铝材:当月值</x:v>
      </x:c>
      <x:c r="F121" s="28" t="str">
        <x:v>Output: Aluminum Products: Current Value (Month)</x:v>
      </x:c>
      <x:c r="G121" s="27" t="str">
        <x:v>月</x:v>
      </x:c>
      <x:c r="H121" s="27" t="str">
        <x:v>万吨</x:v>
      </x:c>
      <x:c r="I121" s="27" t="str">
        <x:v>当期值</x:v>
      </x:c>
      <x:c r="J121" s="27" t="str">
        <x:v>全国</x:v>
      </x:c>
      <x:c r="K121" s="27" t="str">
        <x:v>中国</x:v>
      </x:c>
      <x:c r="L121" s="28" t="str">
        <x:v>国家统计局</x:v>
      </x:c>
      <x:c r="M121" s="28" t="str">
        <x:v>getEcoDataChina</x:v>
      </x:c>
      <x:c r="N121" s="27" t="str">
        <x:v>1989-02-28</x:v>
      </x:c>
      <x:c r="O121" s="27" t="str">
        <x:v>2026-06-30</x:v>
      </x:c>
      <x:c r="P121" s="27" t="str">
        <x:v>持续更新</x:v>
      </x:c>
      <x:c r="Q121" s="27" t="str"/>
      <x:c r="R121" s="28" t="str"/>
    </x:row>
    <x:row r="122" ht="48" customHeight="1">
      <x:c r="A122" s="27" t="str">
        <x:v>801080</x:v>
      </x:c>
      <x:c r="B122" s="27" t="str">
        <x:v>电子</x:v>
      </x:c>
      <x:c r="C122" s="27" t="n">
        <x:v>1</x:v>
      </x:c>
      <x:c r="D122" s="27" t="str">
        <x:v>2090103612</x:v>
      </x:c>
      <x:c r="E122" s="28" t="str">
        <x:v>产量:光电子器件:当月值</x:v>
      </x:c>
      <x:c r="F122" s="28" t="str">
        <x:v>Output: Optoelectronics: Current Value (Month)</x:v>
      </x:c>
      <x:c r="G122" s="27" t="str">
        <x:v>月</x:v>
      </x:c>
      <x:c r="H122" s="27" t="str">
        <x:v>亿只</x:v>
      </x:c>
      <x:c r="I122" s="27" t="str">
        <x:v>当期值</x:v>
      </x:c>
      <x:c r="J122" s="27" t="str">
        <x:v>全国</x:v>
      </x:c>
      <x:c r="K122" s="27" t="str">
        <x:v>中国</x:v>
      </x:c>
      <x:c r="L122" s="28" t="str">
        <x:v>国家统计局</x:v>
      </x:c>
      <x:c r="M122" s="28" t="str">
        <x:v>getEcoDataIndElectronic</x:v>
      </x:c>
      <x:c r="N122" s="27" t="str">
        <x:v>2007-01-31</x:v>
      </x:c>
      <x:c r="O122" s="27" t="str">
        <x:v>2026-06-30</x:v>
      </x:c>
      <x:c r="P122" s="27" t="str">
        <x:v>持续更新</x:v>
      </x:c>
      <x:c r="Q122" s="27" t="str"/>
      <x:c r="R122" s="28" t="str"/>
    </x:row>
    <x:row r="123" ht="48" customHeight="1">
      <x:c r="A123" s="27" t="str">
        <x:v>801080</x:v>
      </x:c>
      <x:c r="B123" s="27" t="str">
        <x:v>电子</x:v>
      </x:c>
      <x:c r="C123" s="27" t="n">
        <x:v>2</x:v>
      </x:c>
      <x:c r="D123" s="27" t="str">
        <x:v>2090100994</x:v>
      </x:c>
      <x:c r="E123" s="28" t="str">
        <x:v>产量:微型电子计算机:当月值</x:v>
      </x:c>
      <x:c r="F123" s="28" t="str">
        <x:v>Micro Computer Equipments: Production</x:v>
      </x:c>
      <x:c r="G123" s="27" t="str">
        <x:v>月</x:v>
      </x:c>
      <x:c r="H123" s="27" t="str">
        <x:v>万台</x:v>
      </x:c>
      <x:c r="I123" s="27" t="str">
        <x:v>当期值</x:v>
      </x:c>
      <x:c r="J123" s="27" t="str">
        <x:v>全国</x:v>
      </x:c>
      <x:c r="K123" s="27" t="str">
        <x:v>中国</x:v>
      </x:c>
      <x:c r="L123" s="28" t="str">
        <x:v>国家统计局</x:v>
      </x:c>
      <x:c r="M123" s="28" t="str">
        <x:v>getEcoDataIndElectronic</x:v>
      </x:c>
      <x:c r="N123" s="27" t="str">
        <x:v>1989-02-28</x:v>
      </x:c>
      <x:c r="O123" s="27" t="str">
        <x:v>2026-06-30</x:v>
      </x:c>
      <x:c r="P123" s="27" t="str">
        <x:v>持续更新</x:v>
      </x:c>
      <x:c r="Q123" s="27" t="str"/>
      <x:c r="R123" s="28" t="str"/>
    </x:row>
    <x:row r="124" ht="48" customHeight="1">
      <x:c r="A124" s="27" t="str">
        <x:v>801080</x:v>
      </x:c>
      <x:c r="B124" s="27" t="str">
        <x:v>电子</x:v>
      </x:c>
      <x:c r="C124" s="27" t="n">
        <x:v>3</x:v>
      </x:c>
      <x:c r="D124" s="27" t="str">
        <x:v>2090714996</x:v>
      </x:c>
      <x:c r="E124" s="28" t="str">
        <x:v>产量:智能手机:当月同比</x:v>
      </x:c>
      <x:c r="F124" s="28" t="str">
        <x:v>Output: Smart Phone: Month YoY</x:v>
      </x:c>
      <x:c r="G124" s="27" t="str">
        <x:v>月</x:v>
      </x:c>
      <x:c r="H124" s="27" t="str">
        <x:v>%</x:v>
      </x:c>
      <x:c r="I124" s="27" t="str">
        <x:v>当期同比</x:v>
      </x:c>
      <x:c r="J124" s="27" t="str">
        <x:v>全国</x:v>
      </x:c>
      <x:c r="K124" s="27" t="str">
        <x:v>中国</x:v>
      </x:c>
      <x:c r="L124" s="28" t="str">
        <x:v>国家统计局</x:v>
      </x:c>
      <x:c r="M124" s="28" t="str">
        <x:v>getEcoDataIndElectronic</x:v>
      </x:c>
      <x:c r="N124" s="27" t="str">
        <x:v>2016-03-31</x:v>
      </x:c>
      <x:c r="O124" s="27" t="str">
        <x:v>2026-06-30</x:v>
      </x:c>
      <x:c r="P124" s="27" t="str">
        <x:v>持续更新</x:v>
      </x:c>
      <x:c r="Q124" s="27" t="str"/>
      <x:c r="R124" s="28" t="str"/>
    </x:row>
    <x:row r="125" ht="48" customHeight="1">
      <x:c r="A125" s="27" t="str">
        <x:v>801080</x:v>
      </x:c>
      <x:c r="B125" s="27" t="str">
        <x:v>电子</x:v>
      </x:c>
      <x:c r="C125" s="27" t="n">
        <x:v>4</x:v>
      </x:c>
      <x:c r="D125" s="27" t="str">
        <x:v>2090100999</x:v>
      </x:c>
      <x:c r="E125" s="28" t="str">
        <x:v>产量:电子计算机:当月同比</x:v>
      </x:c>
      <x:c r="F125" s="28" t="str">
        <x:v>Electronic Computer: Output: YoY</x:v>
      </x:c>
      <x:c r="G125" s="27" t="str">
        <x:v>月</x:v>
      </x:c>
      <x:c r="H125" s="27" t="str">
        <x:v>%</x:v>
      </x:c>
      <x:c r="I125" s="27" t="str">
        <x:v>当期同比</x:v>
      </x:c>
      <x:c r="J125" s="27" t="str">
        <x:v>全国</x:v>
      </x:c>
      <x:c r="K125" s="27" t="str">
        <x:v>中国</x:v>
      </x:c>
      <x:c r="L125" s="28" t="str">
        <x:v>国家统计局</x:v>
      </x:c>
      <x:c r="M125" s="28" t="str">
        <x:v>getEcoDataIndElectronic</x:v>
      </x:c>
      <x:c r="N125" s="27" t="str">
        <x:v>1997-02-28</x:v>
      </x:c>
      <x:c r="O125" s="27" t="str">
        <x:v>2026-06-30</x:v>
      </x:c>
      <x:c r="P125" s="27" t="str">
        <x:v>持续更新</x:v>
      </x:c>
      <x:c r="Q125" s="27" t="str"/>
      <x:c r="R125" s="28" t="str"/>
    </x:row>
    <x:row r="126" ht="48" customHeight="1">
      <x:c r="A126" s="27" t="str">
        <x:v>801080</x:v>
      </x:c>
      <x:c r="B126" s="27" t="str">
        <x:v>电子</x:v>
      </x:c>
      <x:c r="C126" s="27" t="n">
        <x:v>5</x:v>
      </x:c>
      <x:c r="D126" s="27" t="str">
        <x:v>1020001593</x:v>
      </x:c>
      <x:c r="E126" s="28" t="str">
        <x:v>产量:集成电路:当月值</x:v>
      </x:c>
      <x:c r="F126" s="28" t="str">
        <x:v>Output: Integrated Circuit</x:v>
      </x:c>
      <x:c r="G126" s="27" t="str">
        <x:v>月</x:v>
      </x:c>
      <x:c r="H126" s="27" t="str">
        <x:v>亿块</x:v>
      </x:c>
      <x:c r="I126" s="27" t="str">
        <x:v>当期值</x:v>
      </x:c>
      <x:c r="J126" s="27" t="str">
        <x:v>全国</x:v>
      </x:c>
      <x:c r="K126" s="27" t="str">
        <x:v>中国</x:v>
      </x:c>
      <x:c r="L126" s="28" t="str">
        <x:v>国家统计局</x:v>
      </x:c>
      <x:c r="M126" s="28" t="str">
        <x:v>getEcoDataChina</x:v>
      </x:c>
      <x:c r="N126" s="27" t="str">
        <x:v>1989-02-28</x:v>
      </x:c>
      <x:c r="O126" s="27" t="str">
        <x:v>2026-06-30</x:v>
      </x:c>
      <x:c r="P126" s="27" t="str">
        <x:v>持续更新</x:v>
      </x:c>
      <x:c r="Q126" s="27" t="str"/>
      <x:c r="R126" s="28" t="str"/>
    </x:row>
    <x:row r="127" ht="48" customHeight="1">
      <x:c r="A127" s="27" t="str">
        <x:v>801080</x:v>
      </x:c>
      <x:c r="B127" s="27" t="str">
        <x:v>电子</x:v>
      </x:c>
      <x:c r="C127" s="27" t="n">
        <x:v>6</x:v>
      </x:c>
      <x:c r="D127" s="27" t="str">
        <x:v>2090717191</x:v>
      </x:c>
      <x:c r="E127" s="28" t="str">
        <x:v>出口金额(美元):二极管、晶体管及类似的半导体器件(8541):当月值</x:v>
      </x:c>
      <x:c r="F127" s="28" t="str">
        <x:v>Export Value (USD): Diodes, Transistors And Similar Semiconductor Devices(8541): Current Month Value</x:v>
      </x:c>
      <x:c r="G127" s="27" t="str">
        <x:v>月</x:v>
      </x:c>
      <x:c r="H127" s="27" t="str">
        <x:v>美元</x:v>
      </x:c>
      <x:c r="I127" s="27" t="str">
        <x:v>当期值</x:v>
      </x:c>
      <x:c r="J127" s="27" t="str">
        <x:v>中国</x:v>
      </x:c>
      <x:c r="K127" s="27" t="str">
        <x:v>中国</x:v>
      </x:c>
      <x:c r="L127" s="28" t="str">
        <x:v>海关总署</x:v>
      </x:c>
      <x:c r="M127" s="28" t="str">
        <x:v>getEcoDataIndElectronic</x:v>
      </x:c>
      <x:c r="N127" s="27" t="str">
        <x:v>2015-01-31</x:v>
      </x:c>
      <x:c r="O127" s="27" t="str">
        <x:v>2026-06-30</x:v>
      </x:c>
      <x:c r="P127" s="27" t="str">
        <x:v>持续更新</x:v>
      </x:c>
      <x:c r="Q127" s="27" t="str"/>
      <x:c r="R127" s="28" t="str"/>
    </x:row>
    <x:row r="128" ht="48" customHeight="1">
      <x:c r="A128" s="27" t="str">
        <x:v>801080</x:v>
      </x:c>
      <x:c r="B128" s="27" t="str">
        <x:v>电子</x:v>
      </x:c>
      <x:c r="C128" s="27" t="n">
        <x:v>7</x:v>
      </x:c>
      <x:c r="D128" s="27" t="str">
        <x:v>2090717093</x:v>
      </x:c>
      <x:c r="E128" s="28" t="str">
        <x:v>出口金额(美元):印刷电路(8534):当月值</x:v>
      </x:c>
      <x:c r="F128" s="28" t="str">
        <x:v>Export Value (USD): Printed Circuit(8534): Current Month Value</x:v>
      </x:c>
      <x:c r="G128" s="27" t="str">
        <x:v>月</x:v>
      </x:c>
      <x:c r="H128" s="27" t="str">
        <x:v>美元</x:v>
      </x:c>
      <x:c r="I128" s="27" t="str">
        <x:v>当期值</x:v>
      </x:c>
      <x:c r="J128" s="27" t="str">
        <x:v>中国</x:v>
      </x:c>
      <x:c r="K128" s="27" t="str">
        <x:v>中国</x:v>
      </x:c>
      <x:c r="L128" s="28" t="str">
        <x:v>海关总署</x:v>
      </x:c>
      <x:c r="M128" s="28" t="str">
        <x:v>getEcoDataIndElectronic</x:v>
      </x:c>
      <x:c r="N128" s="27" t="str">
        <x:v>2015-01-31</x:v>
      </x:c>
      <x:c r="O128" s="27" t="str">
        <x:v>2026-06-30</x:v>
      </x:c>
      <x:c r="P128" s="27" t="str">
        <x:v>持续更新</x:v>
      </x:c>
      <x:c r="Q128" s="27" t="str"/>
      <x:c r="R128" s="28" t="str"/>
    </x:row>
    <x:row r="129" ht="48" customHeight="1">
      <x:c r="A129" s="27" t="str">
        <x:v>801080</x:v>
      </x:c>
      <x:c r="B129" s="27" t="str">
        <x:v>电子</x:v>
      </x:c>
      <x:c r="C129" s="27" t="n">
        <x:v>8</x:v>
      </x:c>
      <x:c r="D129" s="27" t="str">
        <x:v>2090717205</x:v>
      </x:c>
      <x:c r="E129" s="28" t="str">
        <x:v>出口金额(美元):集成电路(8542):当月值</x:v>
      </x:c>
      <x:c r="F129" s="28" t="str">
        <x:v>Export Value (USD): Integrated Circuit(8542): Current Month Value</x:v>
      </x:c>
      <x:c r="G129" s="27" t="str">
        <x:v>月</x:v>
      </x:c>
      <x:c r="H129" s="27" t="str">
        <x:v>美元</x:v>
      </x:c>
      <x:c r="I129" s="27" t="str">
        <x:v>当期值</x:v>
      </x:c>
      <x:c r="J129" s="27" t="str">
        <x:v>中国</x:v>
      </x:c>
      <x:c r="K129" s="27" t="str">
        <x:v>中国</x:v>
      </x:c>
      <x:c r="L129" s="28" t="str">
        <x:v>海关总署</x:v>
      </x:c>
      <x:c r="M129" s="28" t="str">
        <x:v>getEcoDataIndElectronic</x:v>
      </x:c>
      <x:c r="N129" s="27" t="str">
        <x:v>2015-01-31</x:v>
      </x:c>
      <x:c r="O129" s="27" t="str">
        <x:v>2026-06-30</x:v>
      </x:c>
      <x:c r="P129" s="27" t="str">
        <x:v>持续更新</x:v>
      </x:c>
      <x:c r="Q129" s="27" t="str"/>
      <x:c r="R129" s="28" t="str"/>
    </x:row>
    <x:row r="130" ht="48" customHeight="1">
      <x:c r="A130" s="27" t="str">
        <x:v>801080</x:v>
      </x:c>
      <x:c r="B130" s="27" t="str">
        <x:v>电子</x:v>
      </x:c>
      <x:c r="C130" s="27" t="n">
        <x:v>9</x:v>
      </x:c>
      <x:c r="D130" s="27" t="str">
        <x:v>1050000361</x:v>
      </x:c>
      <x:c r="E130" s="28" t="str">
        <x:v>固定资产投资完成额:计算机、通信和其他电子设备制造业:累计同比</x:v>
      </x:c>
      <x:c r="F130" s="28" t="str">
        <x:v>Fixed Assets Investment Completed: Manufacturing: Computer, Communications And Other Electronic Equipment Manufacturing: Cumulative YoY</x:v>
      </x:c>
      <x:c r="G130" s="27" t="str">
        <x:v>月</x:v>
      </x:c>
      <x:c r="H130" s="27" t="str">
        <x:v>%</x:v>
      </x:c>
      <x:c r="I130" s="27" t="str">
        <x:v>累计同比</x:v>
      </x:c>
      <x:c r="J130" s="27" t="str">
        <x:v>全国</x:v>
      </x:c>
      <x:c r="K130" s="27" t="str">
        <x:v>中国</x:v>
      </x:c>
      <x:c r="L130" s="28" t="str">
        <x:v>国家统计局</x:v>
      </x:c>
      <x:c r="M130" s="28" t="str">
        <x:v>getEcoDataChina</x:v>
      </x:c>
      <x:c r="N130" s="27" t="str">
        <x:v>2004-02-29</x:v>
      </x:c>
      <x:c r="O130" s="27" t="str">
        <x:v>2026-06-30</x:v>
      </x:c>
      <x:c r="P130" s="27" t="str">
        <x:v>持续更新</x:v>
      </x:c>
      <x:c r="Q130" s="27" t="str"/>
      <x:c r="R130" s="28" t="str"/>
    </x:row>
    <x:row r="131" ht="48" customHeight="1">
      <x:c r="A131" s="27" t="str">
        <x:v>801080</x:v>
      </x:c>
      <x:c r="B131" s="27" t="str">
        <x:v>电子</x:v>
      </x:c>
      <x:c r="C131" s="27" t="n">
        <x:v>10</x:v>
      </x:c>
      <x:c r="D131" s="27" t="str">
        <x:v>1020010285</x:v>
      </x:c>
      <x:c r="E131" s="28" t="str">
        <x:v>工业企业:投资收益:计算机、通信和其他电子设备制造业:累计值</x:v>
      </x:c>
      <x:c r="F131" s="28" t="str">
        <x:v>Investment Return: Computer, Communications and Other Electronic Equipment Manufacturing Industry: Cumulative Value</x:v>
      </x:c>
      <x:c r="G131" s="27" t="str">
        <x:v>月</x:v>
      </x:c>
      <x:c r="H131" s="27" t="str">
        <x:v>亿元</x:v>
      </x:c>
      <x:c r="I131" s="27" t="str">
        <x:v>累计值</x:v>
      </x:c>
      <x:c r="J131" s="27" t="str">
        <x:v>全国</x:v>
      </x:c>
      <x:c r="K131" s="27" t="str">
        <x:v>中国</x:v>
      </x:c>
      <x:c r="L131" s="28" t="str">
        <x:v>国家统计局</x:v>
      </x:c>
      <x:c r="M131" s="28" t="str">
        <x:v>getEcoDataChina</x:v>
      </x:c>
      <x:c r="N131" s="27" t="str">
        <x:v>2017-02-28</x:v>
      </x:c>
      <x:c r="O131" s="27" t="str">
        <x:v>2026-06-30</x:v>
      </x:c>
      <x:c r="P131" s="27" t="str">
        <x:v>持续更新</x:v>
      </x:c>
      <x:c r="Q131" s="27" t="str"/>
      <x:c r="R131" s="28" t="str"/>
    </x:row>
    <x:row r="132" ht="48" customHeight="1">
      <x:c r="A132" s="27" t="str">
        <x:v>801080</x:v>
      </x:c>
      <x:c r="B132" s="27" t="str">
        <x:v>电子</x:v>
      </x:c>
      <x:c r="C132" s="27" t="n">
        <x:v>11</x:v>
      </x:c>
      <x:c r="D132" s="27" t="str">
        <x:v>1050000443</x:v>
      </x:c>
      <x:c r="E132" s="28" t="str">
        <x:v>民间固定资产投资完成额:计算机、通信和其他电子设备制造业:累计同比</x:v>
      </x:c>
      <x:c r="F132" s="28" t="str">
        <x:v>Private Investment In Fixed Assets Completed: Computer, Communications And Other Electronic Equipment Manufacturing: Cumulative YoY</x:v>
      </x:c>
      <x:c r="G132" s="27" t="str">
        <x:v>月</x:v>
      </x:c>
      <x:c r="H132" s="27" t="str">
        <x:v>%</x:v>
      </x:c>
      <x:c r="I132" s="27" t="str">
        <x:v>累计同比</x:v>
      </x:c>
      <x:c r="J132" s="27" t="str">
        <x:v>全国</x:v>
      </x:c>
      <x:c r="K132" s="27" t="str">
        <x:v>中国</x:v>
      </x:c>
      <x:c r="L132" s="28" t="str">
        <x:v>国家统计局</x:v>
      </x:c>
      <x:c r="M132" s="28" t="str">
        <x:v>getEcoDataChina</x:v>
      </x:c>
      <x:c r="N132" s="27" t="str">
        <x:v>2012-03-31</x:v>
      </x:c>
      <x:c r="O132" s="27" t="str">
        <x:v>2026-06-30</x:v>
      </x:c>
      <x:c r="P132" s="27" t="str">
        <x:v>持续更新</x:v>
      </x:c>
      <x:c r="Q132" s="27" t="str"/>
      <x:c r="R132" s="28" t="str"/>
    </x:row>
    <x:row r="133" ht="48" customHeight="1">
      <x:c r="A133" s="27" t="str">
        <x:v>801080</x:v>
      </x:c>
      <x:c r="B133" s="27" t="str">
        <x:v>电子</x:v>
      </x:c>
      <x:c r="C133" s="27" t="n">
        <x:v>12</x:v>
      </x:c>
      <x:c r="D133" s="27" t="str">
        <x:v>2090700315</x:v>
      </x:c>
      <x:c r="E133" s="28" t="str">
        <x:v>电子信息制造业:固定资产投资:累计同比</x:v>
      </x:c>
      <x:c r="F133" s="28" t="str">
        <x:v>Electronic Information Manufacturing Industry: Fixed Asset Investment: Cumulative YoY</x:v>
      </x:c>
      <x:c r="G133" s="27" t="str">
        <x:v>月</x:v>
      </x:c>
      <x:c r="H133" s="27" t="str">
        <x:v>%</x:v>
      </x:c>
      <x:c r="I133" s="27" t="str">
        <x:v>累计同比</x:v>
      </x:c>
      <x:c r="J133" s="27" t="str">
        <x:v>全国</x:v>
      </x:c>
      <x:c r="K133" s="27" t="str">
        <x:v>中国</x:v>
      </x:c>
      <x:c r="L133" s="28" t="str">
        <x:v>工信部</x:v>
      </x:c>
      <x:c r="M133" s="28" t="str">
        <x:v>getEcoDataIndElectronic</x:v>
      </x:c>
      <x:c r="N133" s="27" t="str">
        <x:v>2016-02-29</x:v>
      </x:c>
      <x:c r="O133" s="27" t="str">
        <x:v>2026-06-30</x:v>
      </x:c>
      <x:c r="P133" s="27" t="str">
        <x:v>持续更新</x:v>
      </x:c>
      <x:c r="Q133" s="27" t="str"/>
      <x:c r="R133" s="28" t="str"/>
    </x:row>
    <x:row r="134" ht="48" customHeight="1">
      <x:c r="A134" s="27" t="str">
        <x:v>801080</x:v>
      </x:c>
      <x:c r="B134" s="27" t="str">
        <x:v>电子</x:v>
      </x:c>
      <x:c r="C134" s="27" t="n">
        <x:v>13</x:v>
      </x:c>
      <x:c r="D134" s="27" t="str">
        <x:v>2090700305</x:v>
      </x:c>
      <x:c r="E134" s="28" t="str">
        <x:v>规模以上电子信息制造业:出口交货值:当月同比</x:v>
      </x:c>
      <x:c r="F134" s="28" t="str">
        <x:v>Electronic Information Manufacturing above Designated Size: Export Delivery Value: Month YoY</x:v>
      </x:c>
      <x:c r="G134" s="27" t="str">
        <x:v>月</x:v>
      </x:c>
      <x:c r="H134" s="27" t="str">
        <x:v>%</x:v>
      </x:c>
      <x:c r="I134" s="27" t="str">
        <x:v>当期同比</x:v>
      </x:c>
      <x:c r="J134" s="27" t="str">
        <x:v>全国</x:v>
      </x:c>
      <x:c r="K134" s="27" t="str">
        <x:v>中国</x:v>
      </x:c>
      <x:c r="L134" s="28" t="str">
        <x:v>工信部</x:v>
      </x:c>
      <x:c r="M134" s="28" t="str">
        <x:v>getEcoDataIndElectronic</x:v>
      </x:c>
      <x:c r="N134" s="27" t="str">
        <x:v>2010-10-31</x:v>
      </x:c>
      <x:c r="O134" s="27" t="str">
        <x:v>2026-06-30</x:v>
      </x:c>
      <x:c r="P134" s="27" t="str">
        <x:v>持续更新</x:v>
      </x:c>
      <x:c r="Q134" s="27" t="str"/>
      <x:c r="R134" s="28" t="str"/>
    </x:row>
    <x:row r="135" ht="48" customHeight="1">
      <x:c r="A135" s="27" t="str">
        <x:v>801080</x:v>
      </x:c>
      <x:c r="B135" s="27" t="str">
        <x:v>电子</x:v>
      </x:c>
      <x:c r="C135" s="27" t="n">
        <x:v>14</x:v>
      </x:c>
      <x:c r="D135" s="27" t="str">
        <x:v>2090717193</x:v>
      </x:c>
      <x:c r="E135" s="28" t="str">
        <x:v>进出口金额(美元):二极管、晶体管及类似的半导体器件(8541):当月值</x:v>
      </x:c>
      <x:c r="F135" s="28" t="str">
        <x:v>Import And Export Value (USD): Diodes, Transistors And Similar Semiconductor Devices(8541): Current Month Value</x:v>
      </x:c>
      <x:c r="G135" s="27" t="str">
        <x:v>月</x:v>
      </x:c>
      <x:c r="H135" s="27" t="str">
        <x:v>美元</x:v>
      </x:c>
      <x:c r="I135" s="27" t="str">
        <x:v>当期值</x:v>
      </x:c>
      <x:c r="J135" s="27" t="str">
        <x:v>中国</x:v>
      </x:c>
      <x:c r="K135" s="27" t="str">
        <x:v>中国</x:v>
      </x:c>
      <x:c r="L135" s="28" t="str">
        <x:v>海关总署</x:v>
      </x:c>
      <x:c r="M135" s="28" t="str">
        <x:v>getEcoDataIndElectronic</x:v>
      </x:c>
      <x:c r="N135" s="27" t="str">
        <x:v>2015-01-31</x:v>
      </x:c>
      <x:c r="O135" s="27" t="str">
        <x:v>2026-06-30</x:v>
      </x:c>
      <x:c r="P135" s="27" t="str">
        <x:v>持续更新</x:v>
      </x:c>
      <x:c r="Q135" s="27" t="str"/>
      <x:c r="R135" s="28" t="str"/>
    </x:row>
    <x:row r="136" ht="48" customHeight="1">
      <x:c r="A136" s="27" t="str">
        <x:v>801080</x:v>
      </x:c>
      <x:c r="B136" s="27" t="str">
        <x:v>电子</x:v>
      </x:c>
      <x:c r="C136" s="27" t="n">
        <x:v>15</x:v>
      </x:c>
      <x:c r="D136" s="27" t="str">
        <x:v>2090717095</x:v>
      </x:c>
      <x:c r="E136" s="28" t="str">
        <x:v>进出口金额(美元):印刷电路(8534):当月值</x:v>
      </x:c>
      <x:c r="F136" s="28" t="str">
        <x:v>Import And Export Value (USD): Printed Circuit(8534): Current Month Value</x:v>
      </x:c>
      <x:c r="G136" s="27" t="str">
        <x:v>月</x:v>
      </x:c>
      <x:c r="H136" s="27" t="str">
        <x:v>美元</x:v>
      </x:c>
      <x:c r="I136" s="27" t="str">
        <x:v>当期值</x:v>
      </x:c>
      <x:c r="J136" s="27" t="str">
        <x:v>中国</x:v>
      </x:c>
      <x:c r="K136" s="27" t="str">
        <x:v>中国</x:v>
      </x:c>
      <x:c r="L136" s="28" t="str">
        <x:v>海关总署</x:v>
      </x:c>
      <x:c r="M136" s="28" t="str">
        <x:v>getEcoDataIndElectronic</x:v>
      </x:c>
      <x:c r="N136" s="27" t="str">
        <x:v>2015-01-31</x:v>
      </x:c>
      <x:c r="O136" s="27" t="str">
        <x:v>2026-06-30</x:v>
      </x:c>
      <x:c r="P136" s="27" t="str">
        <x:v>持续更新</x:v>
      </x:c>
      <x:c r="Q136" s="27" t="str"/>
      <x:c r="R136" s="28" t="str"/>
    </x:row>
    <x:row r="137" ht="48" customHeight="1">
      <x:c r="A137" s="27" t="str">
        <x:v>801080</x:v>
      </x:c>
      <x:c r="B137" s="27" t="str">
        <x:v>电子</x:v>
      </x:c>
      <x:c r="C137" s="27" t="n">
        <x:v>16</x:v>
      </x:c>
      <x:c r="D137" s="27" t="str">
        <x:v>2090717207</x:v>
      </x:c>
      <x:c r="E137" s="28" t="str">
        <x:v>进出口金额(美元):集成电路(8542):当月值</x:v>
      </x:c>
      <x:c r="F137" s="28" t="str">
        <x:v>Import And Export Value (USD): Integrated Circuit(8542): Current Month Value</x:v>
      </x:c>
      <x:c r="G137" s="27" t="str">
        <x:v>月</x:v>
      </x:c>
      <x:c r="H137" s="27" t="str">
        <x:v>美元</x:v>
      </x:c>
      <x:c r="I137" s="27" t="str">
        <x:v>当期值</x:v>
      </x:c>
      <x:c r="J137" s="27" t="str">
        <x:v>中国</x:v>
      </x:c>
      <x:c r="K137" s="27" t="str">
        <x:v>中国</x:v>
      </x:c>
      <x:c r="L137" s="28" t="str">
        <x:v>海关总署</x:v>
      </x:c>
      <x:c r="M137" s="28" t="str">
        <x:v>getEcoDataIndElectronic</x:v>
      </x:c>
      <x:c r="N137" s="27" t="str">
        <x:v>2015-01-31</x:v>
      </x:c>
      <x:c r="O137" s="27" t="str">
        <x:v>2026-06-30</x:v>
      </x:c>
      <x:c r="P137" s="27" t="str">
        <x:v>持续更新</x:v>
      </x:c>
      <x:c r="Q137" s="27" t="str"/>
      <x:c r="R137" s="28" t="str"/>
    </x:row>
    <x:row r="138" ht="48" customHeight="1">
      <x:c r="A138" s="27" t="str">
        <x:v>801080</x:v>
      </x:c>
      <x:c r="B138" s="27" t="str">
        <x:v>电子</x:v>
      </x:c>
      <x:c r="C138" s="27" t="n">
        <x:v>17</x:v>
      </x:c>
      <x:c r="D138" s="27" t="str">
        <x:v>2090717192</x:v>
      </x:c>
      <x:c r="E138" s="28" t="str">
        <x:v>进口金额(美元):二极管、晶体管及类似的半导体器件(8541):当月值</x:v>
      </x:c>
      <x:c r="F138" s="28" t="str">
        <x:v>Import Value (USD): Diodes, Transistors And Similar Semiconductor Devices(8541): Current Month Value</x:v>
      </x:c>
      <x:c r="G138" s="27" t="str">
        <x:v>月</x:v>
      </x:c>
      <x:c r="H138" s="27" t="str">
        <x:v>美元</x:v>
      </x:c>
      <x:c r="I138" s="27" t="str">
        <x:v>当期值</x:v>
      </x:c>
      <x:c r="J138" s="27" t="str">
        <x:v>中国</x:v>
      </x:c>
      <x:c r="K138" s="27" t="str">
        <x:v>中国</x:v>
      </x:c>
      <x:c r="L138" s="28" t="str">
        <x:v>海关总署</x:v>
      </x:c>
      <x:c r="M138" s="28" t="str">
        <x:v>getEcoDataIndElectronic</x:v>
      </x:c>
      <x:c r="N138" s="27" t="str">
        <x:v>2015-01-31</x:v>
      </x:c>
      <x:c r="O138" s="27" t="str">
        <x:v>2026-06-30</x:v>
      </x:c>
      <x:c r="P138" s="27" t="str">
        <x:v>持续更新</x:v>
      </x:c>
      <x:c r="Q138" s="27" t="str"/>
      <x:c r="R138" s="28" t="str"/>
    </x:row>
    <x:row r="139" ht="48" customHeight="1">
      <x:c r="A139" s="27" t="str">
        <x:v>801080</x:v>
      </x:c>
      <x:c r="B139" s="27" t="str">
        <x:v>电子</x:v>
      </x:c>
      <x:c r="C139" s="27" t="n">
        <x:v>18</x:v>
      </x:c>
      <x:c r="D139" s="27" t="str">
        <x:v>2090717094</x:v>
      </x:c>
      <x:c r="E139" s="28" t="str">
        <x:v>进口金额(美元):印刷电路(8534):当月值</x:v>
      </x:c>
      <x:c r="F139" s="28" t="str">
        <x:v>Import Value (USD): Printed Circuit(8534): Current Month Value</x:v>
      </x:c>
      <x:c r="G139" s="27" t="str">
        <x:v>月</x:v>
      </x:c>
      <x:c r="H139" s="27" t="str">
        <x:v>美元</x:v>
      </x:c>
      <x:c r="I139" s="27" t="str">
        <x:v>当期值</x:v>
      </x:c>
      <x:c r="J139" s="27" t="str">
        <x:v>中国</x:v>
      </x:c>
      <x:c r="K139" s="27" t="str">
        <x:v>中国</x:v>
      </x:c>
      <x:c r="L139" s="28" t="str">
        <x:v>海关总署</x:v>
      </x:c>
      <x:c r="M139" s="28" t="str">
        <x:v>getEcoDataIndElectronic</x:v>
      </x:c>
      <x:c r="N139" s="27" t="str">
        <x:v>2015-01-31</x:v>
      </x:c>
      <x:c r="O139" s="27" t="str">
        <x:v>2026-06-30</x:v>
      </x:c>
      <x:c r="P139" s="27" t="str">
        <x:v>持续更新</x:v>
      </x:c>
      <x:c r="Q139" s="27" t="str"/>
      <x:c r="R139" s="28" t="str"/>
    </x:row>
    <x:row r="140" ht="48" customHeight="1">
      <x:c r="A140" s="27" t="str">
        <x:v>801080</x:v>
      </x:c>
      <x:c r="B140" s="27" t="str">
        <x:v>电子</x:v>
      </x:c>
      <x:c r="C140" s="27" t="n">
        <x:v>19</x:v>
      </x:c>
      <x:c r="D140" s="27" t="str">
        <x:v>2090717206</x:v>
      </x:c>
      <x:c r="E140" s="28" t="str">
        <x:v>进口金额(美元):集成电路(8542):当月值</x:v>
      </x:c>
      <x:c r="F140" s="28" t="str">
        <x:v>Import Value (USD): Integrated Circuit(8542): Current Month Value</x:v>
      </x:c>
      <x:c r="G140" s="27" t="str">
        <x:v>月</x:v>
      </x:c>
      <x:c r="H140" s="27" t="str">
        <x:v>美元</x:v>
      </x:c>
      <x:c r="I140" s="27" t="str">
        <x:v>当期值</x:v>
      </x:c>
      <x:c r="J140" s="27" t="str">
        <x:v>中国</x:v>
      </x:c>
      <x:c r="K140" s="27" t="str">
        <x:v>中国</x:v>
      </x:c>
      <x:c r="L140" s="28" t="str">
        <x:v>海关总署</x:v>
      </x:c>
      <x:c r="M140" s="28" t="str">
        <x:v>getEcoDataIndElectronic</x:v>
      </x:c>
      <x:c r="N140" s="27" t="str">
        <x:v>2015-01-31</x:v>
      </x:c>
      <x:c r="O140" s="27" t="str">
        <x:v>2026-06-30</x:v>
      </x:c>
      <x:c r="P140" s="27" t="str">
        <x:v>持续更新</x:v>
      </x:c>
      <x:c r="Q140" s="27" t="str"/>
      <x:c r="R140" s="28" t="str"/>
    </x:row>
    <x:row r="141" ht="48" customHeight="1">
      <x:c r="A141" s="27" t="str">
        <x:v>801080</x:v>
      </x:c>
      <x:c r="B141" s="27" t="str">
        <x:v>电子</x:v>
      </x:c>
      <x:c r="C141" s="27" t="n">
        <x:v>20</x:v>
      </x:c>
      <x:c r="D141" s="27" t="str">
        <x:v>1040018946</x:v>
      </x:c>
      <x:c r="E141" s="28" t="str">
        <x:v>PPI:电子元件及电子专用材料制造业(上年同月=100)</x:v>
      </x:c>
      <x:c r="F141" s="28" t="str">
        <x:v>PPI: Manufacturing of Electronic Components and Materials for Electronic Purpose (CYoY=100)</x:v>
      </x:c>
      <x:c r="G141" s="27" t="str">
        <x:v>月</x:v>
      </x:c>
      <x:c r="H141" s="27" t="str">
        <x:v>上年同月=100</x:v>
      </x:c>
      <x:c r="I141" s="27" t="str">
        <x:v>当期值</x:v>
      </x:c>
      <x:c r="J141" s="27" t="str">
        <x:v>全国</x:v>
      </x:c>
      <x:c r="K141" s="27" t="str">
        <x:v>中国</x:v>
      </x:c>
      <x:c r="L141" s="28" t="str">
        <x:v>国家统计局</x:v>
      </x:c>
      <x:c r="M141" s="28" t="str">
        <x:v>getEcoDataChina</x:v>
      </x:c>
      <x:c r="N141" s="27" t="str">
        <x:v>2018-01-31</x:v>
      </x:c>
      <x:c r="O141" s="27" t="str">
        <x:v>2026-06-30</x:v>
      </x:c>
      <x:c r="P141" s="27" t="str">
        <x:v>持续更新</x:v>
      </x:c>
      <x:c r="Q141" s="27" t="str"/>
      <x:c r="R141" s="28" t="str"/>
    </x:row>
    <x:row r="142" ht="48" customHeight="1">
      <x:c r="A142" s="27" t="str">
        <x:v>801080</x:v>
      </x:c>
      <x:c r="B142" s="27" t="str">
        <x:v>电子</x:v>
      </x:c>
      <x:c r="C142" s="27" t="n">
        <x:v>21</x:v>
      </x:c>
      <x:c r="D142" s="27" t="str">
        <x:v>1040018945</x:v>
      </x:c>
      <x:c r="E142" s="28" t="str">
        <x:v>PPI:电子器件制造业(上年同月=100)</x:v>
      </x:c>
      <x:c r="F142" s="28" t="str">
        <x:v>PPI: Electronic Parts (CYoY=100)</x:v>
      </x:c>
      <x:c r="G142" s="27" t="str">
        <x:v>月</x:v>
      </x:c>
      <x:c r="H142" s="27" t="str">
        <x:v>上年同月=100</x:v>
      </x:c>
      <x:c r="I142" s="27" t="str">
        <x:v>当期值</x:v>
      </x:c>
      <x:c r="J142" s="27" t="str">
        <x:v>全国</x:v>
      </x:c>
      <x:c r="K142" s="27" t="str">
        <x:v>中国</x:v>
      </x:c>
      <x:c r="L142" s="28" t="str">
        <x:v>国家统计局</x:v>
      </x:c>
      <x:c r="M142" s="28" t="str">
        <x:v>getEcoDataChina</x:v>
      </x:c>
      <x:c r="N142" s="27" t="str">
        <x:v>2014-01-31</x:v>
      </x:c>
      <x:c r="O142" s="27" t="str">
        <x:v>2026-06-30</x:v>
      </x:c>
      <x:c r="P142" s="27" t="str">
        <x:v>持续更新</x:v>
      </x:c>
      <x:c r="Q142" s="27" t="str"/>
      <x:c r="R142" s="28" t="str"/>
    </x:row>
    <x:row r="143" ht="48" customHeight="1">
      <x:c r="A143" s="27" t="str">
        <x:v>801080</x:v>
      </x:c>
      <x:c r="B143" s="27" t="str">
        <x:v>电子</x:v>
      </x:c>
      <x:c r="C143" s="27" t="n">
        <x:v>22</x:v>
      </x:c>
      <x:c r="D143" s="27" t="str">
        <x:v>1040000869</x:v>
      </x:c>
      <x:c r="E143" s="28" t="str">
        <x:v>PPI:计算机、通信和其他电子设备制造业(上年同月=100)</x:v>
      </x:c>
      <x:c r="F143" s="28" t="str">
        <x:v>PPI: Computer, Communications and Other Electronic Equipment Manufacturing (CYoY=100)</x:v>
      </x:c>
      <x:c r="G143" s="27" t="str">
        <x:v>月</x:v>
      </x:c>
      <x:c r="H143" s="27" t="str">
        <x:v>上年同月=100</x:v>
      </x:c>
      <x:c r="I143" s="27" t="str">
        <x:v>当期值</x:v>
      </x:c>
      <x:c r="J143" s="27" t="str">
        <x:v>全国</x:v>
      </x:c>
      <x:c r="K143" s="27" t="str">
        <x:v>中国</x:v>
      </x:c>
      <x:c r="L143" s="28" t="str">
        <x:v>国家统计局</x:v>
      </x:c>
      <x:c r="M143" s="28" t="str">
        <x:v>getEcoDataChina</x:v>
      </x:c>
      <x:c r="N143" s="27" t="str">
        <x:v>1996-10-31</x:v>
      </x:c>
      <x:c r="O143" s="27" t="str">
        <x:v>2026-06-30</x:v>
      </x:c>
      <x:c r="P143" s="27" t="str">
        <x:v>持续更新</x:v>
      </x:c>
      <x:c r="Q143" s="27" t="str"/>
      <x:c r="R143" s="28" t="str"/>
    </x:row>
    <x:row r="144" ht="48" customHeight="1">
      <x:c r="A144" s="27" t="str">
        <x:v>801080</x:v>
      </x:c>
      <x:c r="B144" s="27" t="str">
        <x:v>电子</x:v>
      </x:c>
      <x:c r="C144" s="27" t="n">
        <x:v>23</x:v>
      </x:c>
      <x:c r="D144" s="27" t="str">
        <x:v>2090726818</x:v>
      </x:c>
      <x:c r="E144" s="28" t="str">
        <x:v>出口数量:机电产品:电子元件:二极管及类似半导体器件:太阳能电池:当月环比</x:v>
      </x:c>
      <x:c r="F144" s="28" t="str"/>
      <x:c r="G144" s="27" t="str">
        <x:v>月</x:v>
      </x:c>
      <x:c r="H144" s="27" t="str">
        <x:v>%</x:v>
      </x:c>
      <x:c r="I144" s="27" t="str">
        <x:v>当期环比</x:v>
      </x:c>
      <x:c r="J144" s="27" t="str"/>
      <x:c r="K144" s="27" t="str">
        <x:v>中国</x:v>
      </x:c>
      <x:c r="L144" s="28" t="str">
        <x:v>Datayes!</x:v>
      </x:c>
      <x:c r="M144" s="28" t="str">
        <x:v>getEcoDataIndElectronic</x:v>
      </x:c>
      <x:c r="N144" s="27" t="str">
        <x:v>2014-07-31</x:v>
      </x:c>
      <x:c r="O144" s="27" t="str">
        <x:v>2026-06-30</x:v>
      </x:c>
      <x:c r="P144" s="27" t="str">
        <x:v>持续更新</x:v>
      </x:c>
      <x:c r="Q144" s="27" t="str"/>
      <x:c r="R144" s="28" t="str"/>
    </x:row>
    <x:row r="145" ht="48" customHeight="1">
      <x:c r="A145" s="27" t="str">
        <x:v>801080</x:v>
      </x:c>
      <x:c r="B145" s="27" t="str">
        <x:v>电子</x:v>
      </x:c>
      <x:c r="C145" s="27" t="n">
        <x:v>24</x:v>
      </x:c>
      <x:c r="D145" s="27" t="str">
        <x:v>2090726817</x:v>
      </x:c>
      <x:c r="E145" s="28" t="str">
        <x:v>出口数量:机电产品:电子元件:二极管及类似半导体器件:当月环比</x:v>
      </x:c>
      <x:c r="F145" s="28" t="str"/>
      <x:c r="G145" s="27" t="str">
        <x:v>月</x:v>
      </x:c>
      <x:c r="H145" s="27" t="str">
        <x:v>%</x:v>
      </x:c>
      <x:c r="I145" s="27" t="str">
        <x:v>当期环比</x:v>
      </x:c>
      <x:c r="J145" s="27" t="str"/>
      <x:c r="K145" s="27" t="str">
        <x:v>中国</x:v>
      </x:c>
      <x:c r="L145" s="28" t="str">
        <x:v>海关总署</x:v>
      </x:c>
      <x:c r="M145" s="28" t="str">
        <x:v>getEcoDataIndElectronic</x:v>
      </x:c>
      <x:c r="N145" s="27" t="str">
        <x:v>2014-07-31</x:v>
      </x:c>
      <x:c r="O145" s="27" t="str">
        <x:v>2026-06-30</x:v>
      </x:c>
      <x:c r="P145" s="27" t="str">
        <x:v>持续更新</x:v>
      </x:c>
      <x:c r="Q145" s="27" t="str"/>
      <x:c r="R145" s="28" t="str"/>
    </x:row>
    <x:row r="146" ht="48" customHeight="1">
      <x:c r="A146" s="27" t="str">
        <x:v>801080</x:v>
      </x:c>
      <x:c r="B146" s="27" t="str">
        <x:v>电子</x:v>
      </x:c>
      <x:c r="C146" s="27" t="n">
        <x:v>25</x:v>
      </x:c>
      <x:c r="D146" s="27" t="str">
        <x:v>2090700311</x:v>
      </x:c>
      <x:c r="E146" s="28" t="str">
        <x:v>规模以上电子信息制造业:利润总额:累计同比</x:v>
      </x:c>
      <x:c r="F146" s="28" t="str">
        <x:v>Electronic Information Manufacturing above Designated Size: Total Profit: Cumulative YoY</x:v>
      </x:c>
      <x:c r="G146" s="27" t="str">
        <x:v>月</x:v>
      </x:c>
      <x:c r="H146" s="27" t="str">
        <x:v>%</x:v>
      </x:c>
      <x:c r="I146" s="27" t="str">
        <x:v>累计同比</x:v>
      </x:c>
      <x:c r="J146" s="27" t="str">
        <x:v>全国</x:v>
      </x:c>
      <x:c r="K146" s="27" t="str">
        <x:v>中国</x:v>
      </x:c>
      <x:c r="L146" s="28" t="str">
        <x:v>工信部</x:v>
      </x:c>
      <x:c r="M146" s="28" t="str">
        <x:v>getEcoDataIndElectronic</x:v>
      </x:c>
      <x:c r="N146" s="27" t="str">
        <x:v>2008-02-29</x:v>
      </x:c>
      <x:c r="O146" s="27" t="str">
        <x:v>2026-06-30</x:v>
      </x:c>
      <x:c r="P146" s="27" t="str">
        <x:v>持续更新</x:v>
      </x:c>
      <x:c r="Q146" s="27" t="str"/>
      <x:c r="R146" s="28" t="str"/>
    </x:row>
    <x:row r="147" ht="48" customHeight="1">
      <x:c r="A147" s="27" t="str">
        <x:v>801080</x:v>
      </x:c>
      <x:c r="B147" s="27" t="str">
        <x:v>电子</x:v>
      </x:c>
      <x:c r="C147" s="27" t="n">
        <x:v>26</x:v>
      </x:c>
      <x:c r="D147" s="27" t="str">
        <x:v>2090700304</x:v>
      </x:c>
      <x:c r="E147" s="28" t="str">
        <x:v>规模以上电子信息制造业:增加值:当月同比</x:v>
      </x:c>
      <x:c r="F147" s="28" t="str">
        <x:v>Electronic Information Manufacturing above Designated Size: Value Added: Month YoY</x:v>
      </x:c>
      <x:c r="G147" s="27" t="str">
        <x:v>月</x:v>
      </x:c>
      <x:c r="H147" s="27" t="str">
        <x:v>%</x:v>
      </x:c>
      <x:c r="I147" s="27" t="str">
        <x:v>当期同比</x:v>
      </x:c>
      <x:c r="J147" s="27" t="str">
        <x:v>全国</x:v>
      </x:c>
      <x:c r="K147" s="27" t="str">
        <x:v>中国</x:v>
      </x:c>
      <x:c r="L147" s="28" t="str">
        <x:v>工信部</x:v>
      </x:c>
      <x:c r="M147" s="28" t="str">
        <x:v>getEcoDataIndElectronic</x:v>
      </x:c>
      <x:c r="N147" s="27" t="str">
        <x:v>2009-02-28</x:v>
      </x:c>
      <x:c r="O147" s="27" t="str">
        <x:v>2026-06-30</x:v>
      </x:c>
      <x:c r="P147" s="27" t="str">
        <x:v>持续更新</x:v>
      </x:c>
      <x:c r="Q147" s="27" t="str"/>
      <x:c r="R147" s="28" t="str"/>
    </x:row>
    <x:row r="148" ht="48" customHeight="1">
      <x:c r="A148" s="27" t="str">
        <x:v>801080</x:v>
      </x:c>
      <x:c r="B148" s="27" t="str">
        <x:v>电子</x:v>
      </x:c>
      <x:c r="C148" s="27" t="n">
        <x:v>27</x:v>
      </x:c>
      <x:c r="D148" s="27" t="str">
        <x:v>2090717194</x:v>
      </x:c>
      <x:c r="E148" s="28" t="str">
        <x:v>贸易差额(美元):二极管、晶体管及类似的半导体器件(8541):当月值</x:v>
      </x:c>
      <x:c r="F148" s="28" t="str">
        <x:v>Trade Balance (USD): Diodes, Transistors And Similar Semiconductor Devices(8541): Current Month Value</x:v>
      </x:c>
      <x:c r="G148" s="27" t="str">
        <x:v>月</x:v>
      </x:c>
      <x:c r="H148" s="27" t="str">
        <x:v>美元</x:v>
      </x:c>
      <x:c r="I148" s="27" t="str">
        <x:v>当期值</x:v>
      </x:c>
      <x:c r="J148" s="27" t="str">
        <x:v>中国</x:v>
      </x:c>
      <x:c r="K148" s="27" t="str">
        <x:v>中国</x:v>
      </x:c>
      <x:c r="L148" s="28" t="str">
        <x:v>海关总署</x:v>
      </x:c>
      <x:c r="M148" s="28" t="str">
        <x:v>getEcoDataIndElectronic</x:v>
      </x:c>
      <x:c r="N148" s="27" t="str">
        <x:v>2017-01-31</x:v>
      </x:c>
      <x:c r="O148" s="27" t="str">
        <x:v>2026-06-30</x:v>
      </x:c>
      <x:c r="P148" s="27" t="str">
        <x:v>持续更新</x:v>
      </x:c>
      <x:c r="Q148" s="27" t="str"/>
      <x:c r="R148" s="28" t="str"/>
    </x:row>
    <x:row r="149" ht="48" customHeight="1">
      <x:c r="A149" s="27" t="str">
        <x:v>801080</x:v>
      </x:c>
      <x:c r="B149" s="27" t="str">
        <x:v>电子</x:v>
      </x:c>
      <x:c r="C149" s="27" t="n">
        <x:v>28</x:v>
      </x:c>
      <x:c r="D149" s="27" t="str">
        <x:v>2090717096</x:v>
      </x:c>
      <x:c r="E149" s="28" t="str">
        <x:v>贸易差额(美元):印刷电路(8534):当月值</x:v>
      </x:c>
      <x:c r="F149" s="28" t="str">
        <x:v>Trade Balance (USD): Printed Circuit(8534): Current Month Value</x:v>
      </x:c>
      <x:c r="G149" s="27" t="str">
        <x:v>月</x:v>
      </x:c>
      <x:c r="H149" s="27" t="str">
        <x:v>美元</x:v>
      </x:c>
      <x:c r="I149" s="27" t="str">
        <x:v>当期值</x:v>
      </x:c>
      <x:c r="J149" s="27" t="str">
        <x:v>中国</x:v>
      </x:c>
      <x:c r="K149" s="27" t="str">
        <x:v>中国</x:v>
      </x:c>
      <x:c r="L149" s="28" t="str">
        <x:v>海关总署</x:v>
      </x:c>
      <x:c r="M149" s="28" t="str">
        <x:v>getEcoDataIndElectronic</x:v>
      </x:c>
      <x:c r="N149" s="27" t="str">
        <x:v>2017-01-31</x:v>
      </x:c>
      <x:c r="O149" s="27" t="str">
        <x:v>2026-06-30</x:v>
      </x:c>
      <x:c r="P149" s="27" t="str">
        <x:v>持续更新</x:v>
      </x:c>
      <x:c r="Q149" s="27" t="str"/>
      <x:c r="R149" s="28" t="str"/>
    </x:row>
    <x:row r="150" ht="48" customHeight="1">
      <x:c r="A150" s="27" t="str">
        <x:v>801080</x:v>
      </x:c>
      <x:c r="B150" s="27" t="str">
        <x:v>电子</x:v>
      </x:c>
      <x:c r="C150" s="27" t="n">
        <x:v>29</x:v>
      </x:c>
      <x:c r="D150" s="27" t="str">
        <x:v>2090715996</x:v>
      </x:c>
      <x:c r="E150" s="28" t="str">
        <x:v>现货平均价:DRAM:DDR3 2Gb 256Mx8 1600MHz</x:v>
      </x:c>
      <x:c r="F150" s="28" t="str">
        <x:v>Average Spot Price: DRAM: DDR3 2Gb 256Mx8 1600MHz</x:v>
      </x:c>
      <x:c r="G150" s="27" t="str">
        <x:v>日</x:v>
      </x:c>
      <x:c r="H150" s="27" t="str">
        <x:v>美元</x:v>
      </x:c>
      <x:c r="I150" s="27" t="str">
        <x:v>当期值</x:v>
      </x:c>
      <x:c r="J150" s="27" t="str">
        <x:v>全球</x:v>
      </x:c>
      <x:c r="K150" s="27" t="str">
        <x:v>全球</x:v>
      </x:c>
      <x:c r="L150" s="28" t="str">
        <x:v>全球半导体观察</x:v>
      </x:c>
      <x:c r="M150" s="28" t="str">
        <x:v>getEcoDataIndElectronic</x:v>
      </x:c>
      <x:c r="N150" s="27" t="str">
        <x:v>2011-12-01</x:v>
      </x:c>
      <x:c r="O150" s="27" t="str">
        <x:v>2026-08-07</x:v>
      </x:c>
      <x:c r="P150" s="27" t="str">
        <x:v>持续更新</x:v>
      </x:c>
      <x:c r="Q150" s="27" t="str"/>
      <x:c r="R150" s="28" t="str"/>
    </x:row>
    <x:row r="151" ht="48" customHeight="1">
      <x:c r="A151" s="27" t="str">
        <x:v>801080</x:v>
      </x:c>
      <x:c r="B151" s="27" t="str">
        <x:v>电子</x:v>
      </x:c>
      <x:c r="C151" s="27" t="n">
        <x:v>30</x:v>
      </x:c>
      <x:c r="D151" s="27" t="str">
        <x:v>2090715997</x:v>
      </x:c>
      <x:c r="E151" s="28" t="str">
        <x:v>现货平均价:DRAM:DDR3 4Gb 512Mx8 1600MHz</x:v>
      </x:c>
      <x:c r="F151" s="28" t="str">
        <x:v>Average Spot Price: DRAM: DDR3 4Gb 512Mx8 1600MHz</x:v>
      </x:c>
      <x:c r="G151" s="27" t="str">
        <x:v>日</x:v>
      </x:c>
      <x:c r="H151" s="27" t="str">
        <x:v>美元</x:v>
      </x:c>
      <x:c r="I151" s="27" t="str">
        <x:v>当期值</x:v>
      </x:c>
      <x:c r="J151" s="27" t="str">
        <x:v>全球</x:v>
      </x:c>
      <x:c r="K151" s="27" t="str">
        <x:v>全球</x:v>
      </x:c>
      <x:c r="L151" s="28" t="str">
        <x:v>全球半导体观察</x:v>
      </x:c>
      <x:c r="M151" s="28" t="str">
        <x:v>getEcoDataIndElectronic</x:v>
      </x:c>
      <x:c r="N151" s="27" t="str">
        <x:v>2013-05-29</x:v>
      </x:c>
      <x:c r="O151" s="27" t="str">
        <x:v>2026-08-07</x:v>
      </x:c>
      <x:c r="P151" s="27" t="str">
        <x:v>持续更新</x:v>
      </x:c>
      <x:c r="Q151" s="27" t="str"/>
      <x:c r="R151" s="28" t="str"/>
    </x:row>
    <x:row r="152" ht="48" customHeight="1">
      <x:c r="A152" s="27" t="str">
        <x:v>801110</x:v>
      </x:c>
      <x:c r="B152" s="27" t="str">
        <x:v>家用电器</x:v>
      </x:c>
      <x:c r="C152" s="27" t="n">
        <x:v>1</x:v>
      </x:c>
      <x:c r="D152" s="27" t="str">
        <x:v>2090102058</x:v>
      </x:c>
      <x:c r="E152" s="28" t="str">
        <x:v>产量:家用洗衣机:当月值</x:v>
      </x:c>
      <x:c r="F152" s="28" t="str">
        <x:v>Output: Household Washing Machine</x:v>
      </x:c>
      <x:c r="G152" s="27" t="str">
        <x:v>月</x:v>
      </x:c>
      <x:c r="H152" s="27" t="str">
        <x:v>万台</x:v>
      </x:c>
      <x:c r="I152" s="27" t="str">
        <x:v>当期值</x:v>
      </x:c>
      <x:c r="J152" s="27" t="str">
        <x:v>全国</x:v>
      </x:c>
      <x:c r="K152" s="27" t="str">
        <x:v>中国</x:v>
      </x:c>
      <x:c r="L152" s="28" t="str">
        <x:v>国家统计局</x:v>
      </x:c>
      <x:c r="M152" s="28" t="str">
        <x:v>getEcoDataIndElectronic</x:v>
      </x:c>
      <x:c r="N152" s="27" t="str">
        <x:v>1989-02-28</x:v>
      </x:c>
      <x:c r="O152" s="27" t="str">
        <x:v>2026-06-30</x:v>
      </x:c>
      <x:c r="P152" s="27" t="str">
        <x:v>持续更新</x:v>
      </x:c>
      <x:c r="Q152" s="27" t="str"/>
      <x:c r="R152" s="28" t="str"/>
    </x:row>
    <x:row r="153" ht="48" customHeight="1">
      <x:c r="A153" s="27" t="str">
        <x:v>801110</x:v>
      </x:c>
      <x:c r="B153" s="27" t="str">
        <x:v>家用电器</x:v>
      </x:c>
      <x:c r="C153" s="27" t="n">
        <x:v>2</x:v>
      </x:c>
      <x:c r="D153" s="27" t="str">
        <x:v>1020001598</x:v>
      </x:c>
      <x:c r="E153" s="28" t="str">
        <x:v>产量:家用电冰箱:当月值</x:v>
      </x:c>
      <x:c r="F153" s="28" t="str">
        <x:v>Output: Household Refrigerator: Current</x:v>
      </x:c>
      <x:c r="G153" s="27" t="str">
        <x:v>月</x:v>
      </x:c>
      <x:c r="H153" s="27" t="str">
        <x:v>万台</x:v>
      </x:c>
      <x:c r="I153" s="27" t="str">
        <x:v>当期值</x:v>
      </x:c>
      <x:c r="J153" s="27" t="str">
        <x:v>全国</x:v>
      </x:c>
      <x:c r="K153" s="27" t="str">
        <x:v>中国</x:v>
      </x:c>
      <x:c r="L153" s="28" t="str">
        <x:v>国家统计局</x:v>
      </x:c>
      <x:c r="M153" s="28" t="str">
        <x:v>getEcoDataChina</x:v>
      </x:c>
      <x:c r="N153" s="27" t="str">
        <x:v>1989-02-28</x:v>
      </x:c>
      <x:c r="O153" s="27" t="str">
        <x:v>2026-06-30</x:v>
      </x:c>
      <x:c r="P153" s="27" t="str">
        <x:v>持续更新</x:v>
      </x:c>
      <x:c r="Q153" s="27" t="str"/>
      <x:c r="R153" s="28" t="str"/>
    </x:row>
    <x:row r="154" ht="48" customHeight="1">
      <x:c r="A154" s="27" t="str">
        <x:v>801110</x:v>
      </x:c>
      <x:c r="B154" s="27" t="str">
        <x:v>家用电器</x:v>
      </x:c>
      <x:c r="C154" s="27" t="n">
        <x:v>3</x:v>
      </x:c>
      <x:c r="D154" s="27" t="str">
        <x:v>1020001596</x:v>
      </x:c>
      <x:c r="E154" s="28" t="str">
        <x:v>产量:彩电:当月值</x:v>
      </x:c>
      <x:c r="F154" s="28" t="str">
        <x:v>Output: Color TV</x:v>
      </x:c>
      <x:c r="G154" s="27" t="str">
        <x:v>月</x:v>
      </x:c>
      <x:c r="H154" s="27" t="str">
        <x:v>万台</x:v>
      </x:c>
      <x:c r="I154" s="27" t="str">
        <x:v>当期值</x:v>
      </x:c>
      <x:c r="J154" s="27" t="str">
        <x:v>全国</x:v>
      </x:c>
      <x:c r="K154" s="27" t="str">
        <x:v>中国</x:v>
      </x:c>
      <x:c r="L154" s="28" t="str">
        <x:v>国家统计局</x:v>
      </x:c>
      <x:c r="M154" s="28" t="str">
        <x:v>getEcoDataChina</x:v>
      </x:c>
      <x:c r="N154" s="27" t="str">
        <x:v>1989-02-28</x:v>
      </x:c>
      <x:c r="O154" s="27" t="str">
        <x:v>2026-06-30</x:v>
      </x:c>
      <x:c r="P154" s="27" t="str">
        <x:v>持续更新</x:v>
      </x:c>
      <x:c r="Q154" s="27" t="str"/>
      <x:c r="R154" s="28" t="str"/>
    </x:row>
    <x:row r="155" ht="48" customHeight="1">
      <x:c r="A155" s="27" t="str">
        <x:v>801110</x:v>
      </x:c>
      <x:c r="B155" s="27" t="str">
        <x:v>家用电器</x:v>
      </x:c>
      <x:c r="C155" s="27" t="n">
        <x:v>4</x:v>
      </x:c>
      <x:c r="D155" s="27" t="str">
        <x:v>2090102062</x:v>
      </x:c>
      <x:c r="E155" s="28" t="str">
        <x:v>产量:空调:当月值</x:v>
      </x:c>
      <x:c r="F155" s="28" t="str">
        <x:v>Output: Room Air Conditioner</x:v>
      </x:c>
      <x:c r="G155" s="27" t="str">
        <x:v>月</x:v>
      </x:c>
      <x:c r="H155" s="27" t="str">
        <x:v>万台</x:v>
      </x:c>
      <x:c r="I155" s="27" t="str">
        <x:v>当期值</x:v>
      </x:c>
      <x:c r="J155" s="27" t="str">
        <x:v>全国</x:v>
      </x:c>
      <x:c r="K155" s="27" t="str">
        <x:v>中国</x:v>
      </x:c>
      <x:c r="L155" s="28" t="str">
        <x:v>国家统计局</x:v>
      </x:c>
      <x:c r="M155" s="28" t="str">
        <x:v>getEcoDataIndElectronic</x:v>
      </x:c>
      <x:c r="N155" s="27" t="str">
        <x:v>1990-02-28</x:v>
      </x:c>
      <x:c r="O155" s="27" t="str">
        <x:v>2026-06-30</x:v>
      </x:c>
      <x:c r="P155" s="27" t="str">
        <x:v>持续更新</x:v>
      </x:c>
      <x:c r="Q155" s="27" t="str"/>
      <x:c r="R155" s="28" t="str"/>
    </x:row>
    <x:row r="156" ht="48" customHeight="1">
      <x:c r="A156" s="27" t="str">
        <x:v>801110</x:v>
      </x:c>
      <x:c r="B156" s="27" t="str">
        <x:v>家用电器</x:v>
      </x:c>
      <x:c r="C156" s="27" t="n">
        <x:v>5</x:v>
      </x:c>
      <x:c r="D156" s="27" t="str">
        <x:v>2090715149</x:v>
      </x:c>
      <x:c r="E156" s="28" t="str">
        <x:v>出口数量:其他电热水器:当月值</x:v>
      </x:c>
      <x:c r="F156" s="28" t="str">
        <x:v>Export Volume: Other Electric Water Heaters: Current Value (Month)</x:v>
      </x:c>
      <x:c r="G156" s="27" t="str">
        <x:v>月</x:v>
      </x:c>
      <x:c r="H156" s="27" t="str">
        <x:v>个</x:v>
      </x:c>
      <x:c r="I156" s="27" t="str">
        <x:v>当期值</x:v>
      </x:c>
      <x:c r="J156" s="27" t="str">
        <x:v>全国</x:v>
      </x:c>
      <x:c r="K156" s="27" t="str">
        <x:v>中国</x:v>
      </x:c>
      <x:c r="L156" s="28" t="str">
        <x:v>海关总署</x:v>
      </x:c>
      <x:c r="M156" s="28" t="str">
        <x:v>getEcoDataIndElectronic</x:v>
      </x:c>
      <x:c r="N156" s="27" t="str">
        <x:v>2015-01-31</x:v>
      </x:c>
      <x:c r="O156" s="27" t="str">
        <x:v>2026-06-30</x:v>
      </x:c>
      <x:c r="P156" s="27" t="str">
        <x:v>持续更新</x:v>
      </x:c>
      <x:c r="Q156" s="27" t="str"/>
      <x:c r="R156" s="28" t="str"/>
    </x:row>
    <x:row r="157" ht="48" customHeight="1">
      <x:c r="A157" s="27" t="str">
        <x:v>801110</x:v>
      </x:c>
      <x:c r="B157" s="27" t="str">
        <x:v>家用电器</x:v>
      </x:c>
      <x:c r="C157" s="27" t="n">
        <x:v>6</x:v>
      </x:c>
      <x:c r="D157" s="27" t="str">
        <x:v>2090715077</x:v>
      </x:c>
      <x:c r="E157" s="28" t="str">
        <x:v>出口数量:抽油烟机、罩平面最大边长≤120cm:当月值</x:v>
      </x:c>
      <x:c r="F157" s="28" t="str">
        <x:v>Export Volume: The Maximum Side Length of the Range Hood and Hood Plane≤120cm: Current Value (Month)</x:v>
      </x:c>
      <x:c r="G157" s="27" t="str">
        <x:v>月</x:v>
      </x:c>
      <x:c r="H157" s="27" t="str">
        <x:v>台</x:v>
      </x:c>
      <x:c r="I157" s="27" t="str">
        <x:v>当期值</x:v>
      </x:c>
      <x:c r="J157" s="27" t="str">
        <x:v>全国</x:v>
      </x:c>
      <x:c r="K157" s="27" t="str">
        <x:v>中国</x:v>
      </x:c>
      <x:c r="L157" s="28" t="str">
        <x:v>海关总署</x:v>
      </x:c>
      <x:c r="M157" s="28" t="str">
        <x:v>getEcoDataIndElectronic</x:v>
      </x:c>
      <x:c r="N157" s="27" t="str">
        <x:v>2015-01-31</x:v>
      </x:c>
      <x:c r="O157" s="27" t="str">
        <x:v>2026-06-30</x:v>
      </x:c>
      <x:c r="P157" s="27" t="str">
        <x:v>持续更新</x:v>
      </x:c>
      <x:c r="Q157" s="27" t="str"/>
      <x:c r="R157" s="28" t="str"/>
    </x:row>
    <x:row r="158" ht="48" customHeight="1">
      <x:c r="A158" s="27" t="str">
        <x:v>801110</x:v>
      </x:c>
      <x:c r="B158" s="27" t="str">
        <x:v>家用电器</x:v>
      </x:c>
      <x:c r="C158" s="27" t="n">
        <x:v>7</x:v>
      </x:c>
      <x:c r="D158" s="27" t="str">
        <x:v>2090715113</x:v>
      </x:c>
      <x:c r="E158" s="28" t="str">
        <x:v>出口数量:热水器零件:当月值</x:v>
      </x:c>
      <x:c r="F158" s="28" t="str">
        <x:v>Export Volume: Water Heater Components: Current Value (Month)</x:v>
      </x:c>
      <x:c r="G158" s="27" t="str">
        <x:v>月</x:v>
      </x:c>
      <x:c r="H158" s="27" t="str">
        <x:v>千克</x:v>
      </x:c>
      <x:c r="I158" s="27" t="str">
        <x:v>当期值</x:v>
      </x:c>
      <x:c r="J158" s="27" t="str">
        <x:v>全国</x:v>
      </x:c>
      <x:c r="K158" s="27" t="str">
        <x:v>中国</x:v>
      </x:c>
      <x:c r="L158" s="28" t="str">
        <x:v>海关总署</x:v>
      </x:c>
      <x:c r="M158" s="28" t="str">
        <x:v>getEcoDataIndElectronic</x:v>
      </x:c>
      <x:c r="N158" s="27" t="str">
        <x:v>2015-01-31</x:v>
      </x:c>
      <x:c r="O158" s="27" t="str">
        <x:v>2026-06-30</x:v>
      </x:c>
      <x:c r="P158" s="27" t="str">
        <x:v>持续更新</x:v>
      </x:c>
      <x:c r="Q158" s="27" t="str"/>
      <x:c r="R158" s="28" t="str"/>
    </x:row>
    <x:row r="159" ht="48" customHeight="1">
      <x:c r="A159" s="27" t="str">
        <x:v>801110</x:v>
      </x:c>
      <x:c r="B159" s="27" t="str">
        <x:v>家用电器</x:v>
      </x:c>
      <x:c r="C159" s="27" t="n">
        <x:v>8</x:v>
      </x:c>
      <x:c r="D159" s="27" t="str">
        <x:v>2090715089</x:v>
      </x:c>
      <x:c r="E159" s="28" t="str">
        <x:v>出口数量:燃气快速热水器:当月值</x:v>
      </x:c>
      <x:c r="F159" s="28" t="str">
        <x:v>Export Volume: Gas Instant Water Heater: Current Value (Month)</x:v>
      </x:c>
      <x:c r="G159" s="27" t="str">
        <x:v>月</x:v>
      </x:c>
      <x:c r="H159" s="27" t="str">
        <x:v>台</x:v>
      </x:c>
      <x:c r="I159" s="27" t="str">
        <x:v>当期值</x:v>
      </x:c>
      <x:c r="J159" s="27" t="str">
        <x:v>全国</x:v>
      </x:c>
      <x:c r="K159" s="27" t="str">
        <x:v>中国</x:v>
      </x:c>
      <x:c r="L159" s="28" t="str">
        <x:v>海关总署</x:v>
      </x:c>
      <x:c r="M159" s="28" t="str">
        <x:v>getEcoDataIndElectronic</x:v>
      </x:c>
      <x:c r="N159" s="27" t="str">
        <x:v>2015-01-31</x:v>
      </x:c>
      <x:c r="O159" s="27" t="str">
        <x:v>2026-06-30</x:v>
      </x:c>
      <x:c r="P159" s="27" t="str">
        <x:v>持续更新</x:v>
      </x:c>
      <x:c r="Q159" s="27" t="str"/>
      <x:c r="R159" s="28" t="str"/>
    </x:row>
    <x:row r="160" ht="48" customHeight="1">
      <x:c r="A160" s="27" t="str">
        <x:v>801110</x:v>
      </x:c>
      <x:c r="B160" s="27" t="str">
        <x:v>家用电器</x:v>
      </x:c>
      <x:c r="C160" s="27" t="n">
        <x:v>9</x:v>
      </x:c>
      <x:c r="D160" s="27" t="str">
        <x:v>2090715125</x:v>
      </x:c>
      <x:c r="E160" s="28" t="str">
        <x:v>出口数量:电热的储存式热水器:当月值</x:v>
      </x:c>
      <x:c r="F160" s="28" t="str">
        <x:v>Export Volume: Electric Storage Water Heater: Current Value (Month)</x:v>
      </x:c>
      <x:c r="G160" s="27" t="str">
        <x:v>月</x:v>
      </x:c>
      <x:c r="H160" s="27" t="str">
        <x:v>个</x:v>
      </x:c>
      <x:c r="I160" s="27" t="str">
        <x:v>当期值</x:v>
      </x:c>
      <x:c r="J160" s="27" t="str">
        <x:v>全国</x:v>
      </x:c>
      <x:c r="K160" s="27" t="str">
        <x:v>中国</x:v>
      </x:c>
      <x:c r="L160" s="28" t="str">
        <x:v>海关总署</x:v>
      </x:c>
      <x:c r="M160" s="28" t="str">
        <x:v>getEcoDataIndElectronic</x:v>
      </x:c>
      <x:c r="N160" s="27" t="str">
        <x:v>2015-01-31</x:v>
      </x:c>
      <x:c r="O160" s="27" t="str">
        <x:v>2026-06-30</x:v>
      </x:c>
      <x:c r="P160" s="27" t="str">
        <x:v>持续更新</x:v>
      </x:c>
      <x:c r="Q160" s="27" t="str"/>
      <x:c r="R160" s="28" t="str"/>
    </x:row>
    <x:row r="161" ht="48" customHeight="1">
      <x:c r="A161" s="27" t="str">
        <x:v>801110</x:v>
      </x:c>
      <x:c r="B161" s="27" t="str">
        <x:v>家用电器</x:v>
      </x:c>
      <x:c r="C161" s="27" t="n">
        <x:v>10</x:v>
      </x:c>
      <x:c r="D161" s="27" t="str">
        <x:v>2090715137</x:v>
      </x:c>
      <x:c r="E161" s="28" t="str">
        <x:v>出口数量:电热的快速热水器:当月值</x:v>
      </x:c>
      <x:c r="F161" s="28" t="str">
        <x:v>Export Volume: Electric Fast Water Heater: Current Value (Month)</x:v>
      </x:c>
      <x:c r="G161" s="27" t="str">
        <x:v>月</x:v>
      </x:c>
      <x:c r="H161" s="27" t="str">
        <x:v>个</x:v>
      </x:c>
      <x:c r="I161" s="27" t="str">
        <x:v>当期值</x:v>
      </x:c>
      <x:c r="J161" s="27" t="str">
        <x:v>全国</x:v>
      </x:c>
      <x:c r="K161" s="27" t="str">
        <x:v>中国</x:v>
      </x:c>
      <x:c r="L161" s="28" t="str">
        <x:v>海关总署</x:v>
      </x:c>
      <x:c r="M161" s="28" t="str">
        <x:v>getEcoDataIndElectronic</x:v>
      </x:c>
      <x:c r="N161" s="27" t="str">
        <x:v>2015-01-31</x:v>
      </x:c>
      <x:c r="O161" s="27" t="str">
        <x:v>2026-06-30</x:v>
      </x:c>
      <x:c r="P161" s="27" t="str">
        <x:v>持续更新</x:v>
      </x:c>
      <x:c r="Q161" s="27" t="str"/>
      <x:c r="R161" s="28" t="str"/>
    </x:row>
    <x:row r="162" ht="48" customHeight="1">
      <x:c r="A162" s="27" t="str">
        <x:v>801110</x:v>
      </x:c>
      <x:c r="B162" s="27" t="str">
        <x:v>家用电器</x:v>
      </x:c>
      <x:c r="C162" s="27" t="n">
        <x:v>11</x:v>
      </x:c>
      <x:c r="D162" s="27" t="str">
        <x:v>2090715155</x:v>
      </x:c>
      <x:c r="E162" s="28" t="str">
        <x:v>出口金额(人民币):其他电热水器:当月值</x:v>
      </x:c>
      <x:c r="F162" s="28" t="str">
        <x:v>Export Amount (CNY): Other Electric Water Heaters: Current Value (Month)</x:v>
      </x:c>
      <x:c r="G162" s="27" t="str">
        <x:v>月</x:v>
      </x:c>
      <x:c r="H162" s="27" t="str">
        <x:v>元</x:v>
      </x:c>
      <x:c r="I162" s="27" t="str">
        <x:v>当期值</x:v>
      </x:c>
      <x:c r="J162" s="27" t="str">
        <x:v>全国</x:v>
      </x:c>
      <x:c r="K162" s="27" t="str">
        <x:v>中国</x:v>
      </x:c>
      <x:c r="L162" s="28" t="str">
        <x:v>海关总署</x:v>
      </x:c>
      <x:c r="M162" s="28" t="str">
        <x:v>getEcoDataIndElectronic</x:v>
      </x:c>
      <x:c r="N162" s="27" t="str">
        <x:v>2015-01-31</x:v>
      </x:c>
      <x:c r="O162" s="27" t="str">
        <x:v>2026-06-30</x:v>
      </x:c>
      <x:c r="P162" s="27" t="str">
        <x:v>持续更新</x:v>
      </x:c>
      <x:c r="Q162" s="27" t="str"/>
      <x:c r="R162" s="28" t="str"/>
    </x:row>
    <x:row r="163" ht="48" customHeight="1">
      <x:c r="A163" s="27" t="str">
        <x:v>801110</x:v>
      </x:c>
      <x:c r="B163" s="27" t="str">
        <x:v>家用电器</x:v>
      </x:c>
      <x:c r="C163" s="27" t="n">
        <x:v>12</x:v>
      </x:c>
      <x:c r="D163" s="27" t="str">
        <x:v>2090715083</x:v>
      </x:c>
      <x:c r="E163" s="28" t="str">
        <x:v>出口金额(人民币):抽油烟机、罩平面最大边长≤120cm:当月值</x:v>
      </x:c>
      <x:c r="F163" s="28" t="str">
        <x:v>Export Amount (CNY): The Maximum Side Length of the Range Hood and Hood Plane≤120cm: Current Value (Month)</x:v>
      </x:c>
      <x:c r="G163" s="27" t="str">
        <x:v>月</x:v>
      </x:c>
      <x:c r="H163" s="27" t="str">
        <x:v>元</x:v>
      </x:c>
      <x:c r="I163" s="27" t="str">
        <x:v>当期值</x:v>
      </x:c>
      <x:c r="J163" s="27" t="str">
        <x:v>全国</x:v>
      </x:c>
      <x:c r="K163" s="27" t="str">
        <x:v>中国</x:v>
      </x:c>
      <x:c r="L163" s="28" t="str">
        <x:v>海关总署</x:v>
      </x:c>
      <x:c r="M163" s="28" t="str">
        <x:v>getEcoDataIndElectronic</x:v>
      </x:c>
      <x:c r="N163" s="27" t="str">
        <x:v>2015-01-31</x:v>
      </x:c>
      <x:c r="O163" s="27" t="str">
        <x:v>2026-06-30</x:v>
      </x:c>
      <x:c r="P163" s="27" t="str">
        <x:v>持续更新</x:v>
      </x:c>
      <x:c r="Q163" s="27" t="str"/>
      <x:c r="R163" s="28" t="str"/>
    </x:row>
    <x:row r="164" ht="48" customHeight="1">
      <x:c r="A164" s="27" t="str">
        <x:v>801110</x:v>
      </x:c>
      <x:c r="B164" s="27" t="str">
        <x:v>家用电器</x:v>
      </x:c>
      <x:c r="C164" s="27" t="n">
        <x:v>13</x:v>
      </x:c>
      <x:c r="D164" s="27" t="str">
        <x:v>2090715119</x:v>
      </x:c>
      <x:c r="E164" s="28" t="str">
        <x:v>出口金额(人民币):热水器零件:当月值</x:v>
      </x:c>
      <x:c r="F164" s="28" t="str">
        <x:v>Export Amount (CNY): Water Heater Components: Current Value (Month)</x:v>
      </x:c>
      <x:c r="G164" s="27" t="str">
        <x:v>月</x:v>
      </x:c>
      <x:c r="H164" s="27" t="str">
        <x:v>元</x:v>
      </x:c>
      <x:c r="I164" s="27" t="str">
        <x:v>当期值</x:v>
      </x:c>
      <x:c r="J164" s="27" t="str">
        <x:v>全国</x:v>
      </x:c>
      <x:c r="K164" s="27" t="str">
        <x:v>中国</x:v>
      </x:c>
      <x:c r="L164" s="28" t="str">
        <x:v>海关总署</x:v>
      </x:c>
      <x:c r="M164" s="28" t="str">
        <x:v>getEcoDataIndElectronic</x:v>
      </x:c>
      <x:c r="N164" s="27" t="str">
        <x:v>2015-01-31</x:v>
      </x:c>
      <x:c r="O164" s="27" t="str">
        <x:v>2026-06-30</x:v>
      </x:c>
      <x:c r="P164" s="27" t="str">
        <x:v>持续更新</x:v>
      </x:c>
      <x:c r="Q164" s="27" t="str"/>
      <x:c r="R164" s="28" t="str"/>
    </x:row>
    <x:row r="165" ht="48" customHeight="1">
      <x:c r="A165" s="27" t="str">
        <x:v>801110</x:v>
      </x:c>
      <x:c r="B165" s="27" t="str">
        <x:v>家用电器</x:v>
      </x:c>
      <x:c r="C165" s="27" t="n">
        <x:v>14</x:v>
      </x:c>
      <x:c r="D165" s="27" t="str">
        <x:v>2090715095</x:v>
      </x:c>
      <x:c r="E165" s="28" t="str">
        <x:v>出口金额(人民币):燃气快速热水器:当月值</x:v>
      </x:c>
      <x:c r="F165" s="28" t="str">
        <x:v>Export Amount (CNY): Gas Instant Water Heater: Current Value (Month)</x:v>
      </x:c>
      <x:c r="G165" s="27" t="str">
        <x:v>月</x:v>
      </x:c>
      <x:c r="H165" s="27" t="str">
        <x:v>元</x:v>
      </x:c>
      <x:c r="I165" s="27" t="str">
        <x:v>当期值</x:v>
      </x:c>
      <x:c r="J165" s="27" t="str">
        <x:v>全国</x:v>
      </x:c>
      <x:c r="K165" s="27" t="str">
        <x:v>中国</x:v>
      </x:c>
      <x:c r="L165" s="28" t="str">
        <x:v>海关总署</x:v>
      </x:c>
      <x:c r="M165" s="28" t="str">
        <x:v>getEcoDataIndElectronic</x:v>
      </x:c>
      <x:c r="N165" s="27" t="str">
        <x:v>2015-01-31</x:v>
      </x:c>
      <x:c r="O165" s="27" t="str">
        <x:v>2026-06-30</x:v>
      </x:c>
      <x:c r="P165" s="27" t="str">
        <x:v>持续更新</x:v>
      </x:c>
      <x:c r="Q165" s="27" t="str"/>
      <x:c r="R165" s="28" t="str"/>
    </x:row>
    <x:row r="166" ht="48" customHeight="1">
      <x:c r="A166" s="27" t="str">
        <x:v>801110</x:v>
      </x:c>
      <x:c r="B166" s="27" t="str">
        <x:v>家用电器</x:v>
      </x:c>
      <x:c r="C166" s="27" t="n">
        <x:v>15</x:v>
      </x:c>
      <x:c r="D166" s="27" t="str">
        <x:v>2090715131</x:v>
      </x:c>
      <x:c r="E166" s="28" t="str">
        <x:v>出口金额(人民币):电热的储存式热水器:当月值</x:v>
      </x:c>
      <x:c r="F166" s="28" t="str">
        <x:v>Export Amount (CNY): Electric Storage Water Heater: Current Value (Month)</x:v>
      </x:c>
      <x:c r="G166" s="27" t="str">
        <x:v>月</x:v>
      </x:c>
      <x:c r="H166" s="27" t="str">
        <x:v>元</x:v>
      </x:c>
      <x:c r="I166" s="27" t="str">
        <x:v>当期值</x:v>
      </x:c>
      <x:c r="J166" s="27" t="str">
        <x:v>全国</x:v>
      </x:c>
      <x:c r="K166" s="27" t="str">
        <x:v>中国</x:v>
      </x:c>
      <x:c r="L166" s="28" t="str">
        <x:v>海关总署</x:v>
      </x:c>
      <x:c r="M166" s="28" t="str">
        <x:v>getEcoDataIndElectronic</x:v>
      </x:c>
      <x:c r="N166" s="27" t="str">
        <x:v>2015-01-31</x:v>
      </x:c>
      <x:c r="O166" s="27" t="str">
        <x:v>2026-06-30</x:v>
      </x:c>
      <x:c r="P166" s="27" t="str">
        <x:v>持续更新</x:v>
      </x:c>
      <x:c r="Q166" s="27" t="str"/>
      <x:c r="R166" s="28" t="str"/>
    </x:row>
    <x:row r="167" ht="48" customHeight="1">
      <x:c r="A167" s="27" t="str">
        <x:v>801110</x:v>
      </x:c>
      <x:c r="B167" s="27" t="str">
        <x:v>家用电器</x:v>
      </x:c>
      <x:c r="C167" s="27" t="n">
        <x:v>16</x:v>
      </x:c>
      <x:c r="D167" s="27" t="str">
        <x:v>2090715143</x:v>
      </x:c>
      <x:c r="E167" s="28" t="str">
        <x:v>出口金额(人民币):电热的快速热水器:当月值</x:v>
      </x:c>
      <x:c r="F167" s="28" t="str">
        <x:v>Export Amount (CNY): Electric Fast Water Heater: Current Value (Month)</x:v>
      </x:c>
      <x:c r="G167" s="27" t="str">
        <x:v>月</x:v>
      </x:c>
      <x:c r="H167" s="27" t="str">
        <x:v>元</x:v>
      </x:c>
      <x:c r="I167" s="27" t="str">
        <x:v>当期值</x:v>
      </x:c>
      <x:c r="J167" s="27" t="str">
        <x:v>全国</x:v>
      </x:c>
      <x:c r="K167" s="27" t="str">
        <x:v>中国</x:v>
      </x:c>
      <x:c r="L167" s="28" t="str">
        <x:v>海关总署</x:v>
      </x:c>
      <x:c r="M167" s="28" t="str">
        <x:v>getEcoDataIndElectronic</x:v>
      </x:c>
      <x:c r="N167" s="27" t="str">
        <x:v>2015-01-31</x:v>
      </x:c>
      <x:c r="O167" s="27" t="str">
        <x:v>2026-06-30</x:v>
      </x:c>
      <x:c r="P167" s="27" t="str">
        <x:v>持续更新</x:v>
      </x:c>
      <x:c r="Q167" s="27" t="str"/>
      <x:c r="R167" s="28" t="str"/>
    </x:row>
    <x:row r="168" ht="48" customHeight="1">
      <x:c r="A168" s="27" t="str">
        <x:v>801110</x:v>
      </x:c>
      <x:c r="B168" s="27" t="str">
        <x:v>家用电器</x:v>
      </x:c>
      <x:c r="C168" s="27" t="n">
        <x:v>17</x:v>
      </x:c>
      <x:c r="D168" s="27" t="str">
        <x:v>2090716953</x:v>
      </x:c>
      <x:c r="E168" s="28" t="str">
        <x:v>出口金额(美元):电热的快速热水器、储存式热水器等(8516):当月值</x:v>
      </x:c>
      <x:c r="F168" s="28" t="str">
        <x:v>Export Value (USD): Electric Fast Water Heater, Storage Water Heater, Etc(8516): Current Month Value</x:v>
      </x:c>
      <x:c r="G168" s="27" t="str">
        <x:v>月</x:v>
      </x:c>
      <x:c r="H168" s="27" t="str">
        <x:v>美元</x:v>
      </x:c>
      <x:c r="I168" s="27" t="str">
        <x:v>当期值</x:v>
      </x:c>
      <x:c r="J168" s="27" t="str">
        <x:v>中国</x:v>
      </x:c>
      <x:c r="K168" s="27" t="str">
        <x:v>中国</x:v>
      </x:c>
      <x:c r="L168" s="28" t="str">
        <x:v>海关总署</x:v>
      </x:c>
      <x:c r="M168" s="28" t="str">
        <x:v>getEcoDataIndElectronic</x:v>
      </x:c>
      <x:c r="N168" s="27" t="str">
        <x:v>2015-01-31</x:v>
      </x:c>
      <x:c r="O168" s="27" t="str">
        <x:v>2026-06-30</x:v>
      </x:c>
      <x:c r="P168" s="27" t="str">
        <x:v>持续更新</x:v>
      </x:c>
      <x:c r="Q168" s="27" t="str"/>
      <x:c r="R168" s="28" t="str"/>
    </x:row>
    <x:row r="169" ht="48" customHeight="1">
      <x:c r="A169" s="27" t="str">
        <x:v>801110</x:v>
      </x:c>
      <x:c r="B169" s="27" t="str">
        <x:v>家用电器</x:v>
      </x:c>
      <x:c r="C169" s="27" t="n">
        <x:v>18</x:v>
      </x:c>
      <x:c r="D169" s="27" t="str">
        <x:v>2090716955</x:v>
      </x:c>
      <x:c r="E169" s="28" t="str">
        <x:v>进出口金额(美元):电热的快速热水器、储存式热水器等(8516):当月值</x:v>
      </x:c>
      <x:c r="F169" s="28" t="str">
        <x:v>Import And Export Value (USD): Electric Fast Water Heater, Storage Water Heater, Etc(8516): Current Month Value</x:v>
      </x:c>
      <x:c r="G169" s="27" t="str">
        <x:v>月</x:v>
      </x:c>
      <x:c r="H169" s="27" t="str">
        <x:v>美元</x:v>
      </x:c>
      <x:c r="I169" s="27" t="str">
        <x:v>当期值</x:v>
      </x:c>
      <x:c r="J169" s="27" t="str">
        <x:v>中国</x:v>
      </x:c>
      <x:c r="K169" s="27" t="str">
        <x:v>中国</x:v>
      </x:c>
      <x:c r="L169" s="28" t="str">
        <x:v>海关总署</x:v>
      </x:c>
      <x:c r="M169" s="28" t="str">
        <x:v>getEcoDataIndElectronic</x:v>
      </x:c>
      <x:c r="N169" s="27" t="str">
        <x:v>2015-01-31</x:v>
      </x:c>
      <x:c r="O169" s="27" t="str">
        <x:v>2026-06-30</x:v>
      </x:c>
      <x:c r="P169" s="27" t="str">
        <x:v>持续更新</x:v>
      </x:c>
      <x:c r="Q169" s="27" t="str"/>
      <x:c r="R169" s="28" t="str"/>
    </x:row>
    <x:row r="170" ht="48" customHeight="1">
      <x:c r="A170" s="27" t="str">
        <x:v>801110</x:v>
      </x:c>
      <x:c r="B170" s="27" t="str">
        <x:v>家用电器</x:v>
      </x:c>
      <x:c r="C170" s="27" t="n">
        <x:v>19</x:v>
      </x:c>
      <x:c r="D170" s="27" t="str">
        <x:v>2090727470</x:v>
      </x:c>
      <x:c r="E170" s="28" t="str">
        <x:v>出口:家电:抽油烟机</x:v>
      </x:c>
      <x:c r="F170" s="28" t="str"/>
      <x:c r="G170" s="27" t="str">
        <x:v>季</x:v>
      </x:c>
      <x:c r="H170" s="27" t="str">
        <x:v>万台</x:v>
      </x:c>
      <x:c r="I170" s="27" t="str">
        <x:v>当期值</x:v>
      </x:c>
      <x:c r="J170" s="27" t="str">
        <x:v>全国</x:v>
      </x:c>
      <x:c r="K170" s="27" t="str">
        <x:v>中国</x:v>
      </x:c>
      <x:c r="L170" s="28" t="str">
        <x:v>产业在线</x:v>
      </x:c>
      <x:c r="M170" s="28" t="str">
        <x:v>getEcoDataIndElectronic</x:v>
      </x:c>
      <x:c r="N170" s="27" t="str">
        <x:v>2016-03-31</x:v>
      </x:c>
      <x:c r="O170" s="27" t="str">
        <x:v>2026-03-31</x:v>
      </x:c>
      <x:c r="P170" s="27" t="str">
        <x:v>持续更新</x:v>
      </x:c>
      <x:c r="Q170" s="27" t="str"/>
      <x:c r="R170" s="28" t="str"/>
    </x:row>
    <x:row r="171" ht="48" customHeight="1">
      <x:c r="A171" s="27" t="str">
        <x:v>801110</x:v>
      </x:c>
      <x:c r="B171" s="27" t="str">
        <x:v>家用电器</x:v>
      </x:c>
      <x:c r="C171" s="27" t="n">
        <x:v>20</x:v>
      </x:c>
      <x:c r="D171" s="27" t="str">
        <x:v>2090727454</x:v>
      </x:c>
      <x:c r="E171" s="28" t="str">
        <x:v>产量:抽油烟机:当季值</x:v>
      </x:c>
      <x:c r="F171" s="28" t="str"/>
      <x:c r="G171" s="27" t="str">
        <x:v>季</x:v>
      </x:c>
      <x:c r="H171" s="27" t="str">
        <x:v>万台</x:v>
      </x:c>
      <x:c r="I171" s="27" t="str">
        <x:v>当期值</x:v>
      </x:c>
      <x:c r="J171" s="27" t="str">
        <x:v>全国</x:v>
      </x:c>
      <x:c r="K171" s="27" t="str">
        <x:v>中国</x:v>
      </x:c>
      <x:c r="L171" s="28" t="str">
        <x:v>产业在线</x:v>
      </x:c>
      <x:c r="M171" s="28" t="str">
        <x:v>getEcoDataIndElectronic</x:v>
      </x:c>
      <x:c r="N171" s="27" t="str">
        <x:v>2016-03-31</x:v>
      </x:c>
      <x:c r="O171" s="27" t="str">
        <x:v>2026-03-31</x:v>
      </x:c>
      <x:c r="P171" s="27" t="str">
        <x:v>持续更新</x:v>
      </x:c>
      <x:c r="Q171" s="27" t="str"/>
      <x:c r="R171" s="28" t="str"/>
    </x:row>
    <x:row r="172" ht="48" customHeight="1">
      <x:c r="A172" s="27" t="str">
        <x:v>801110</x:v>
      </x:c>
      <x:c r="B172" s="27" t="str">
        <x:v>家用电器</x:v>
      </x:c>
      <x:c r="C172" s="27" t="n">
        <x:v>21</x:v>
      </x:c>
      <x:c r="D172" s="27" t="str">
        <x:v>2090727407</x:v>
      </x:c>
      <x:c r="E172" s="28" t="str">
        <x:v>销量:抽油烟机:当季值</x:v>
      </x:c>
      <x:c r="F172" s="28" t="str"/>
      <x:c r="G172" s="27" t="str">
        <x:v>季</x:v>
      </x:c>
      <x:c r="H172" s="27" t="str">
        <x:v>万台</x:v>
      </x:c>
      <x:c r="I172" s="27" t="str">
        <x:v>当期值</x:v>
      </x:c>
      <x:c r="J172" s="27" t="str">
        <x:v>全国</x:v>
      </x:c>
      <x:c r="K172" s="27" t="str">
        <x:v>中国</x:v>
      </x:c>
      <x:c r="L172" s="28" t="str">
        <x:v>产业在线</x:v>
      </x:c>
      <x:c r="M172" s="28" t="str">
        <x:v>getEcoDataIndElectronic</x:v>
      </x:c>
      <x:c r="N172" s="27" t="str">
        <x:v>2016-03-31</x:v>
      </x:c>
      <x:c r="O172" s="27" t="str">
        <x:v>2026-03-31</x:v>
      </x:c>
      <x:c r="P172" s="27" t="str">
        <x:v>持续更新</x:v>
      </x:c>
      <x:c r="Q172" s="27" t="str"/>
      <x:c r="R172" s="28" t="str"/>
    </x:row>
    <x:row r="173" ht="48" customHeight="1">
      <x:c r="A173" s="27" t="str">
        <x:v>801110</x:v>
      </x:c>
      <x:c r="B173" s="27" t="str">
        <x:v>家用电器</x:v>
      </x:c>
      <x:c r="C173" s="27" t="n">
        <x:v>22</x:v>
      </x:c>
      <x:c r="D173" s="27" t="str">
        <x:v>2090726559</x:v>
      </x:c>
      <x:c r="E173" s="28" t="str">
        <x:v>出口数量:机电产品:家用电器:冰箱:当月环比</x:v>
      </x:c>
      <x:c r="F173" s="28" t="str"/>
      <x:c r="G173" s="27" t="str">
        <x:v>月</x:v>
      </x:c>
      <x:c r="H173" s="27" t="str">
        <x:v>%</x:v>
      </x:c>
      <x:c r="I173" s="27" t="str">
        <x:v>当期环比</x:v>
      </x:c>
      <x:c r="J173" s="27" t="str"/>
      <x:c r="K173" s="27" t="str">
        <x:v>中国</x:v>
      </x:c>
      <x:c r="L173" s="28" t="str">
        <x:v>Datayes!</x:v>
      </x:c>
      <x:c r="M173" s="28" t="str">
        <x:v>getEcoDataIndElectronic</x:v>
      </x:c>
      <x:c r="N173" s="27" t="str">
        <x:v>2014-07-31</x:v>
      </x:c>
      <x:c r="O173" s="27" t="str">
        <x:v>2026-06-30</x:v>
      </x:c>
      <x:c r="P173" s="27" t="str">
        <x:v>持续更新</x:v>
      </x:c>
      <x:c r="Q173" s="27" t="str"/>
      <x:c r="R173" s="28" t="str"/>
    </x:row>
    <x:row r="174" ht="48" customHeight="1">
      <x:c r="A174" s="27" t="str">
        <x:v>801110</x:v>
      </x:c>
      <x:c r="B174" s="27" t="str">
        <x:v>家用电器</x:v>
      </x:c>
      <x:c r="C174" s="27" t="n">
        <x:v>23</x:v>
      </x:c>
      <x:c r="D174" s="27" t="str">
        <x:v>2090726562</x:v>
      </x:c>
      <x:c r="E174" s="28" t="str">
        <x:v>出口数量:机电产品:家用电器:微波炉:当月环比</x:v>
      </x:c>
      <x:c r="F174" s="28" t="str"/>
      <x:c r="G174" s="27" t="str">
        <x:v>月</x:v>
      </x:c>
      <x:c r="H174" s="27" t="str">
        <x:v>%</x:v>
      </x:c>
      <x:c r="I174" s="27" t="str">
        <x:v>当期环比</x:v>
      </x:c>
      <x:c r="J174" s="27" t="str"/>
      <x:c r="K174" s="27" t="str">
        <x:v>中国</x:v>
      </x:c>
      <x:c r="L174" s="28" t="str">
        <x:v>Datayes!</x:v>
      </x:c>
      <x:c r="M174" s="28" t="str">
        <x:v>getEcoDataIndElectronic</x:v>
      </x:c>
      <x:c r="N174" s="27" t="str">
        <x:v>2014-07-31</x:v>
      </x:c>
      <x:c r="O174" s="27" t="str">
        <x:v>2026-06-30</x:v>
      </x:c>
      <x:c r="P174" s="27" t="str">
        <x:v>持续更新</x:v>
      </x:c>
      <x:c r="Q174" s="27" t="str"/>
      <x:c r="R174" s="28" t="str"/>
    </x:row>
    <x:row r="175" ht="48" customHeight="1">
      <x:c r="A175" s="27" t="str">
        <x:v>801110</x:v>
      </x:c>
      <x:c r="B175" s="27" t="str">
        <x:v>家用电器</x:v>
      </x:c>
      <x:c r="C175" s="27" t="n">
        <x:v>24</x:v>
      </x:c>
      <x:c r="D175" s="27" t="str">
        <x:v>2090726560</x:v>
      </x:c>
      <x:c r="E175" s="28" t="str">
        <x:v>出口数量:机电产品:家用电器:洗衣机:当月环比</x:v>
      </x:c>
      <x:c r="F175" s="28" t="str"/>
      <x:c r="G175" s="27" t="str">
        <x:v>月</x:v>
      </x:c>
      <x:c r="H175" s="27" t="str">
        <x:v>%</x:v>
      </x:c>
      <x:c r="I175" s="27" t="str">
        <x:v>当期环比</x:v>
      </x:c>
      <x:c r="J175" s="27" t="str"/>
      <x:c r="K175" s="27" t="str">
        <x:v>中国</x:v>
      </x:c>
      <x:c r="L175" s="28" t="str">
        <x:v>Datayes!</x:v>
      </x:c>
      <x:c r="M175" s="28" t="str">
        <x:v>getEcoDataIndElectronic</x:v>
      </x:c>
      <x:c r="N175" s="27" t="str">
        <x:v>2014-07-31</x:v>
      </x:c>
      <x:c r="O175" s="27" t="str">
        <x:v>2026-06-30</x:v>
      </x:c>
      <x:c r="P175" s="27" t="str">
        <x:v>持续更新</x:v>
      </x:c>
      <x:c r="Q175" s="27" t="str"/>
      <x:c r="R175" s="28" t="str"/>
    </x:row>
    <x:row r="176" ht="48" customHeight="1">
      <x:c r="A176" s="27" t="str">
        <x:v>801110</x:v>
      </x:c>
      <x:c r="B176" s="27" t="str">
        <x:v>家用电器</x:v>
      </x:c>
      <x:c r="C176" s="27" t="n">
        <x:v>25</x:v>
      </x:c>
      <x:c r="D176" s="27" t="str">
        <x:v>2090726551</x:v>
      </x:c>
      <x:c r="E176" s="28" t="str">
        <x:v>出口数量:机电产品:家用电器:电视机:当月环比</x:v>
      </x:c>
      <x:c r="F176" s="28" t="str"/>
      <x:c r="G176" s="27" t="str">
        <x:v>月</x:v>
      </x:c>
      <x:c r="H176" s="27" t="str">
        <x:v>%</x:v>
      </x:c>
      <x:c r="I176" s="27" t="str">
        <x:v>当期环比</x:v>
      </x:c>
      <x:c r="J176" s="27" t="str"/>
      <x:c r="K176" s="27" t="str">
        <x:v>中国</x:v>
      </x:c>
      <x:c r="L176" s="28" t="str">
        <x:v>Datayes!</x:v>
      </x:c>
      <x:c r="M176" s="28" t="str">
        <x:v>getEcoDataIndElectronic</x:v>
      </x:c>
      <x:c r="N176" s="27" t="str">
        <x:v>2014-07-31</x:v>
      </x:c>
      <x:c r="O176" s="27" t="str">
        <x:v>2026-06-30</x:v>
      </x:c>
      <x:c r="P176" s="27" t="str">
        <x:v>持续更新</x:v>
      </x:c>
      <x:c r="Q176" s="27" t="str"/>
      <x:c r="R176" s="28" t="str"/>
    </x:row>
    <x:row r="177" ht="48" customHeight="1">
      <x:c r="A177" s="27" t="str">
        <x:v>801110</x:v>
      </x:c>
      <x:c r="B177" s="27" t="str">
        <x:v>家用电器</x:v>
      </x:c>
      <x:c r="C177" s="27" t="n">
        <x:v>26</x:v>
      </x:c>
      <x:c r="D177" s="27" t="str">
        <x:v>2090726558</x:v>
      </x:c>
      <x:c r="E177" s="28" t="str">
        <x:v>出口数量:机电产品:家用电器:空调:当月环比</x:v>
      </x:c>
      <x:c r="F177" s="28" t="str"/>
      <x:c r="G177" s="27" t="str">
        <x:v>月</x:v>
      </x:c>
      <x:c r="H177" s="27" t="str">
        <x:v>%</x:v>
      </x:c>
      <x:c r="I177" s="27" t="str">
        <x:v>当期环比</x:v>
      </x:c>
      <x:c r="J177" s="27" t="str"/>
      <x:c r="K177" s="27" t="str">
        <x:v>中国</x:v>
      </x:c>
      <x:c r="L177" s="28" t="str">
        <x:v>Datayes!</x:v>
      </x:c>
      <x:c r="M177" s="28" t="str">
        <x:v>getEcoDataIndElectronic</x:v>
      </x:c>
      <x:c r="N177" s="27" t="str">
        <x:v>2014-07-31</x:v>
      </x:c>
      <x:c r="O177" s="27" t="str">
        <x:v>2026-06-30</x:v>
      </x:c>
      <x:c r="P177" s="27" t="str">
        <x:v>持续更新</x:v>
      </x:c>
      <x:c r="Q177" s="27" t="str"/>
      <x:c r="R177" s="28" t="str"/>
    </x:row>
    <x:row r="178" ht="48" customHeight="1">
      <x:c r="A178" s="27" t="str">
        <x:v>801110</x:v>
      </x:c>
      <x:c r="B178" s="27" t="str">
        <x:v>家用电器</x:v>
      </x:c>
      <x:c r="C178" s="27" t="n">
        <x:v>27</x:v>
      </x:c>
      <x:c r="D178" s="27" t="str">
        <x:v>2090716956</x:v>
      </x:c>
      <x:c r="E178" s="28" t="str">
        <x:v>贸易差额(美元):电热的快速热水器、储存式热水器等(8516):当月值</x:v>
      </x:c>
      <x:c r="F178" s="28" t="str">
        <x:v>Trade Balance (USD): Electric Fast Water Heater, Storage Water Heater, Etc(8516): Current Month Value</x:v>
      </x:c>
      <x:c r="G178" s="27" t="str">
        <x:v>月</x:v>
      </x:c>
      <x:c r="H178" s="27" t="str">
        <x:v>美元</x:v>
      </x:c>
      <x:c r="I178" s="27" t="str">
        <x:v>当期值</x:v>
      </x:c>
      <x:c r="J178" s="27" t="str">
        <x:v>中国</x:v>
      </x:c>
      <x:c r="K178" s="27" t="str">
        <x:v>中国</x:v>
      </x:c>
      <x:c r="L178" s="28" t="str">
        <x:v>海关总署</x:v>
      </x:c>
      <x:c r="M178" s="28" t="str">
        <x:v>getEcoDataIndElectronic</x:v>
      </x:c>
      <x:c r="N178" s="27" t="str">
        <x:v>2017-01-31</x:v>
      </x:c>
      <x:c r="O178" s="27" t="str">
        <x:v>2026-06-30</x:v>
      </x:c>
      <x:c r="P178" s="27" t="str">
        <x:v>持续更新</x:v>
      </x:c>
      <x:c r="Q178" s="27" t="str"/>
      <x:c r="R178" s="28" t="str"/>
    </x:row>
    <x:row r="179" ht="48" customHeight="1">
      <x:c r="A179" s="27" t="str">
        <x:v>801110</x:v>
      </x:c>
      <x:c r="B179" s="27" t="str">
        <x:v>家用电器</x:v>
      </x:c>
      <x:c r="C179" s="27" t="n">
        <x:v>28</x:v>
      </x:c>
      <x:c r="D179" s="27" t="str">
        <x:v>2090715146</x:v>
      </x:c>
      <x:c r="E179" s="28" t="str">
        <x:v>进口数量:其他电热水器:当月值</x:v>
      </x:c>
      <x:c r="F179" s="28" t="str">
        <x:v>Import Volume: Other Electric Water Heaters: Current Value (Month)</x:v>
      </x:c>
      <x:c r="G179" s="27" t="str">
        <x:v>月</x:v>
      </x:c>
      <x:c r="H179" s="27" t="str">
        <x:v>个</x:v>
      </x:c>
      <x:c r="I179" s="27" t="str">
        <x:v>当期值</x:v>
      </x:c>
      <x:c r="J179" s="27" t="str">
        <x:v>全国</x:v>
      </x:c>
      <x:c r="K179" s="27" t="str">
        <x:v>中国</x:v>
      </x:c>
      <x:c r="L179" s="28" t="str">
        <x:v>海关总署</x:v>
      </x:c>
      <x:c r="M179" s="28" t="str">
        <x:v>getEcoDataIndElectronic</x:v>
      </x:c>
      <x:c r="N179" s="27" t="str">
        <x:v>2015-01-31</x:v>
      </x:c>
      <x:c r="O179" s="27" t="str">
        <x:v>2026-06-30</x:v>
      </x:c>
      <x:c r="P179" s="27" t="str">
        <x:v>持续更新</x:v>
      </x:c>
      <x:c r="Q179" s="27" t="str"/>
      <x:c r="R179" s="28" t="str"/>
    </x:row>
    <x:row r="180" ht="48" customHeight="1">
      <x:c r="A180" s="27" t="str">
        <x:v>801110</x:v>
      </x:c>
      <x:c r="B180" s="27" t="str">
        <x:v>家用电器</x:v>
      </x:c>
      <x:c r="C180" s="27" t="n">
        <x:v>29</x:v>
      </x:c>
      <x:c r="D180" s="27" t="str">
        <x:v>2090715074</x:v>
      </x:c>
      <x:c r="E180" s="28" t="str">
        <x:v>进口数量:抽油烟机、罩平面最大边长≤120cm:当月值</x:v>
      </x:c>
      <x:c r="F180" s="28" t="str">
        <x:v>Import Volume: The Maximum Side Length of the Range Hood and Hood Plane≤120cm: Current Value (Month)</x:v>
      </x:c>
      <x:c r="G180" s="27" t="str">
        <x:v>月</x:v>
      </x:c>
      <x:c r="H180" s="27" t="str">
        <x:v>台</x:v>
      </x:c>
      <x:c r="I180" s="27" t="str">
        <x:v>当期值</x:v>
      </x:c>
      <x:c r="J180" s="27" t="str">
        <x:v>全国</x:v>
      </x:c>
      <x:c r="K180" s="27" t="str">
        <x:v>中国</x:v>
      </x:c>
      <x:c r="L180" s="28" t="str">
        <x:v>海关总署</x:v>
      </x:c>
      <x:c r="M180" s="28" t="str">
        <x:v>getEcoDataIndElectronic</x:v>
      </x:c>
      <x:c r="N180" s="27" t="str">
        <x:v>2015-01-31</x:v>
      </x:c>
      <x:c r="O180" s="27" t="str">
        <x:v>2026-06-30</x:v>
      </x:c>
      <x:c r="P180" s="27" t="str">
        <x:v>持续更新</x:v>
      </x:c>
      <x:c r="Q180" s="27" t="str"/>
      <x:c r="R180" s="28" t="str"/>
    </x:row>
    <x:row r="181" ht="48" customHeight="1">
      <x:c r="A181" s="27" t="str">
        <x:v>801110</x:v>
      </x:c>
      <x:c r="B181" s="27" t="str">
        <x:v>家用电器</x:v>
      </x:c>
      <x:c r="C181" s="27" t="n">
        <x:v>30</x:v>
      </x:c>
      <x:c r="D181" s="27" t="str">
        <x:v>2090715110</x:v>
      </x:c>
      <x:c r="E181" s="28" t="str">
        <x:v>进口数量:热水器零件:当月值</x:v>
      </x:c>
      <x:c r="F181" s="28" t="str">
        <x:v>Import Volume: Water Heater Components: Current Value (Month)</x:v>
      </x:c>
      <x:c r="G181" s="27" t="str">
        <x:v>月</x:v>
      </x:c>
      <x:c r="H181" s="27" t="str">
        <x:v>千克</x:v>
      </x:c>
      <x:c r="I181" s="27" t="str">
        <x:v>当期值</x:v>
      </x:c>
      <x:c r="J181" s="27" t="str">
        <x:v>全国</x:v>
      </x:c>
      <x:c r="K181" s="27" t="str">
        <x:v>中国</x:v>
      </x:c>
      <x:c r="L181" s="28" t="str">
        <x:v>海关总署</x:v>
      </x:c>
      <x:c r="M181" s="28" t="str">
        <x:v>getEcoDataIndElectronic</x:v>
      </x:c>
      <x:c r="N181" s="27" t="str">
        <x:v>2015-01-31</x:v>
      </x:c>
      <x:c r="O181" s="27" t="str">
        <x:v>2026-06-30</x:v>
      </x:c>
      <x:c r="P181" s="27" t="str">
        <x:v>持续更新</x:v>
      </x:c>
      <x:c r="Q181" s="27" t="str"/>
      <x:c r="R181" s="28" t="str"/>
    </x:row>
    <x:row r="182" ht="48" customHeight="1">
      <x:c r="A182" s="27" t="str">
        <x:v>801120</x:v>
      </x:c>
      <x:c r="B182" s="27" t="str">
        <x:v>食品饮料</x:v>
      </x:c>
      <x:c r="C182" s="27" t="n">
        <x:v>1</x:v>
      </x:c>
      <x:c r="D182" s="27" t="str">
        <x:v>1040001910</x:v>
      </x:c>
      <x:c r="E182" s="28" t="str">
        <x:v>国内现货价格:零售价:中老年奶粉</x:v>
      </x:c>
      <x:c r="F182" s="28" t="str">
        <x:v>Domestic Spot Price: Retail Price: Milk Powder For Middle-Aged Adults</x:v>
      </x:c>
      <x:c r="G182" s="27" t="str">
        <x:v>周</x:v>
      </x:c>
      <x:c r="H182" s="27" t="str">
        <x:v>元/公斤</x:v>
      </x:c>
      <x:c r="I182" s="27" t="str">
        <x:v>当期值</x:v>
      </x:c>
      <x:c r="J182" s="27" t="str">
        <x:v>全国</x:v>
      </x:c>
      <x:c r="K182" s="27" t="str">
        <x:v>中国</x:v>
      </x:c>
      <x:c r="L182" s="28" t="str">
        <x:v>商务部</x:v>
      </x:c>
      <x:c r="M182" s="28" t="str">
        <x:v>getEcoDataChina</x:v>
      </x:c>
      <x:c r="N182" s="27" t="str">
        <x:v>2009-05-01</x:v>
      </x:c>
      <x:c r="O182" s="27" t="str">
        <x:v>2026-07-31</x:v>
      </x:c>
      <x:c r="P182" s="27" t="str">
        <x:v>持续更新</x:v>
      </x:c>
      <x:c r="Q182" s="27" t="str"/>
      <x:c r="R182" s="28" t="str"/>
    </x:row>
    <x:row r="183" ht="48" customHeight="1">
      <x:c r="A183" s="27" t="str">
        <x:v>801120</x:v>
      </x:c>
      <x:c r="B183" s="27" t="str">
        <x:v>食品饮料</x:v>
      </x:c>
      <x:c r="C183" s="27" t="n">
        <x:v>2</x:v>
      </x:c>
      <x:c r="D183" s="27" t="str">
        <x:v>1040001909</x:v>
      </x:c>
      <x:c r="E183" s="28" t="str">
        <x:v>国内现货价格:零售价:国产品牌婴幼儿奶粉</x:v>
      </x:c>
      <x:c r="F183" s="28" t="str">
        <x:v>Domestic Spot Price: Retail Price: Domestic-Branded Milk Powder For Infants</x:v>
      </x:c>
      <x:c r="G183" s="27" t="str">
        <x:v>周</x:v>
      </x:c>
      <x:c r="H183" s="27" t="str">
        <x:v>元/公斤</x:v>
      </x:c>
      <x:c r="I183" s="27" t="str">
        <x:v>当期值</x:v>
      </x:c>
      <x:c r="J183" s="27" t="str">
        <x:v>全国</x:v>
      </x:c>
      <x:c r="K183" s="27" t="str">
        <x:v>中国</x:v>
      </x:c>
      <x:c r="L183" s="28" t="str">
        <x:v>商务部</x:v>
      </x:c>
      <x:c r="M183" s="28" t="str">
        <x:v>getEcoDataChina</x:v>
      </x:c>
      <x:c r="N183" s="27" t="str">
        <x:v>2009-05-01</x:v>
      </x:c>
      <x:c r="O183" s="27" t="str">
        <x:v>2026-07-31</x:v>
      </x:c>
      <x:c r="P183" s="27" t="str">
        <x:v>持续更新</x:v>
      </x:c>
      <x:c r="Q183" s="27" t="str"/>
      <x:c r="R183" s="28" t="str"/>
    </x:row>
    <x:row r="184" ht="48" customHeight="1">
      <x:c r="A184" s="27" t="str">
        <x:v>801120</x:v>
      </x:c>
      <x:c r="B184" s="27" t="str">
        <x:v>食品饮料</x:v>
      </x:c>
      <x:c r="C184" s="27" t="n">
        <x:v>3</x:v>
      </x:c>
      <x:c r="D184" s="27" t="str">
        <x:v>1040001908</x:v>
      </x:c>
      <x:c r="E184" s="28" t="str">
        <x:v>国内现货价格:零售价:国外品牌婴幼儿奶粉</x:v>
      </x:c>
      <x:c r="F184" s="28" t="str">
        <x:v>Domestic Spot Price: Retail Price: Foreign-Branded Milk Powder For Infants</x:v>
      </x:c>
      <x:c r="G184" s="27" t="str">
        <x:v>周</x:v>
      </x:c>
      <x:c r="H184" s="27" t="str">
        <x:v>元/公斤</x:v>
      </x:c>
      <x:c r="I184" s="27" t="str">
        <x:v>当期值</x:v>
      </x:c>
      <x:c r="J184" s="27" t="str">
        <x:v>全国</x:v>
      </x:c>
      <x:c r="K184" s="27" t="str">
        <x:v>中国</x:v>
      </x:c>
      <x:c r="L184" s="28" t="str">
        <x:v>商务部</x:v>
      </x:c>
      <x:c r="M184" s="28" t="str">
        <x:v>getEcoDataChina</x:v>
      </x:c>
      <x:c r="N184" s="27" t="str">
        <x:v>2009-05-01</x:v>
      </x:c>
      <x:c r="O184" s="27" t="str">
        <x:v>2026-07-31</x:v>
      </x:c>
      <x:c r="P184" s="27" t="str">
        <x:v>持续更新</x:v>
      </x:c>
      <x:c r="Q184" s="27" t="str"/>
      <x:c r="R184" s="28" t="str"/>
    </x:row>
    <x:row r="185" ht="48" customHeight="1">
      <x:c r="A185" s="27" t="str">
        <x:v>801120</x:v>
      </x:c>
      <x:c r="B185" s="27" t="str">
        <x:v>食品饮料</x:v>
      </x:c>
      <x:c r="C185" s="27" t="n">
        <x:v>4</x:v>
      </x:c>
      <x:c r="D185" s="27" t="str">
        <x:v>1040001906</x:v>
      </x:c>
      <x:c r="E185" s="28" t="str">
        <x:v>国内现货价格:零售价:牛奶</x:v>
      </x:c>
      <x:c r="F185" s="28" t="str">
        <x:v>Domestic Spot Price: Retail Price: Milk</x:v>
      </x:c>
      <x:c r="G185" s="27" t="str">
        <x:v>周</x:v>
      </x:c>
      <x:c r="H185" s="27" t="str">
        <x:v>元/升</x:v>
      </x:c>
      <x:c r="I185" s="27" t="str">
        <x:v>当期值</x:v>
      </x:c>
      <x:c r="J185" s="27" t="str">
        <x:v>全国</x:v>
      </x:c>
      <x:c r="K185" s="27" t="str">
        <x:v>中国</x:v>
      </x:c>
      <x:c r="L185" s="28" t="str">
        <x:v>商务部</x:v>
      </x:c>
      <x:c r="M185" s="28" t="str">
        <x:v>getEcoDataChina</x:v>
      </x:c>
      <x:c r="N185" s="27" t="str">
        <x:v>2009-05-01</x:v>
      </x:c>
      <x:c r="O185" s="27" t="str">
        <x:v>2026-07-31</x:v>
      </x:c>
      <x:c r="P185" s="27" t="str">
        <x:v>持续更新</x:v>
      </x:c>
      <x:c r="Q185" s="27" t="str"/>
      <x:c r="R185" s="28" t="str"/>
    </x:row>
    <x:row r="186" ht="48" customHeight="1">
      <x:c r="A186" s="27" t="str">
        <x:v>801120</x:v>
      </x:c>
      <x:c r="B186" s="27" t="str">
        <x:v>食品饮料</x:v>
      </x:c>
      <x:c r="C186" s="27" t="n">
        <x:v>5</x:v>
      </x:c>
      <x:c r="D186" s="27" t="str">
        <x:v>2110732342</x:v>
      </x:c>
      <x:c r="E186" s="28" t="str">
        <x:v>全国白酒定基价格指数:名酒</x:v>
      </x:c>
      <x:c r="F186" s="28" t="str">
        <x:v>National Baijiu Fixed Base Price Index: Vintage Wine</x:v>
      </x:c>
      <x:c r="G186" s="27" t="str">
        <x:v>旬</x:v>
      </x:c>
      <x:c r="H186" s="27" t="str">
        <x:v>2012年2月=100</x:v>
      </x:c>
      <x:c r="I186" s="27" t="str">
        <x:v>当期值</x:v>
      </x:c>
      <x:c r="J186" s="27" t="str">
        <x:v>全国</x:v>
      </x:c>
      <x:c r="K186" s="27" t="str">
        <x:v>中国</x:v>
      </x:c>
      <x:c r="L186" s="28" t="str">
        <x:v>泸州·中国白酒商品批发价格指数办公室</x:v>
      </x:c>
      <x:c r="M186" s="28" t="str">
        <x:v>getEcoDataIndFoodbeverage</x:v>
      </x:c>
      <x:c r="N186" s="27" t="str">
        <x:v>2013-01-10</x:v>
      </x:c>
      <x:c r="O186" s="27" t="str">
        <x:v>2026-07-31</x:v>
      </x:c>
      <x:c r="P186" s="27" t="str">
        <x:v>持续更新</x:v>
      </x:c>
      <x:c r="Q186" s="27" t="str"/>
      <x:c r="R186" s="28" t="str"/>
    </x:row>
    <x:row r="187" ht="48" customHeight="1">
      <x:c r="A187" s="27" t="str">
        <x:v>801120</x:v>
      </x:c>
      <x:c r="B187" s="27" t="str">
        <x:v>食品饮料</x:v>
      </x:c>
      <x:c r="C187" s="27" t="n">
        <x:v>6</x:v>
      </x:c>
      <x:c r="D187" s="27" t="str">
        <x:v>2110732343</x:v>
      </x:c>
      <x:c r="E187" s="28" t="str">
        <x:v>全国白酒定基价格指数:地方酒</x:v>
      </x:c>
      <x:c r="F187" s="28" t="str">
        <x:v>National Baijiu Fixed Base Price Index: Local Wine</x:v>
      </x:c>
      <x:c r="G187" s="27" t="str">
        <x:v>旬</x:v>
      </x:c>
      <x:c r="H187" s="27" t="str">
        <x:v>2012年2月=100</x:v>
      </x:c>
      <x:c r="I187" s="27" t="str">
        <x:v>当期值</x:v>
      </x:c>
      <x:c r="J187" s="27" t="str">
        <x:v>全国</x:v>
      </x:c>
      <x:c r="K187" s="27" t="str">
        <x:v>中国</x:v>
      </x:c>
      <x:c r="L187" s="28" t="str">
        <x:v>泸州·中国白酒商品批发价格指数办公室</x:v>
      </x:c>
      <x:c r="M187" s="28" t="str">
        <x:v>getEcoDataIndFoodbeverage</x:v>
      </x:c>
      <x:c r="N187" s="27" t="str">
        <x:v>2013-01-10</x:v>
      </x:c>
      <x:c r="O187" s="27" t="str">
        <x:v>2026-07-31</x:v>
      </x:c>
      <x:c r="P187" s="27" t="str">
        <x:v>持续更新</x:v>
      </x:c>
      <x:c r="Q187" s="27" t="str"/>
      <x:c r="R187" s="28" t="str"/>
    </x:row>
    <x:row r="188" ht="48" customHeight="1">
      <x:c r="A188" s="27" t="str">
        <x:v>801120</x:v>
      </x:c>
      <x:c r="B188" s="27" t="str">
        <x:v>食品饮料</x:v>
      </x:c>
      <x:c r="C188" s="27" t="n">
        <x:v>7</x:v>
      </x:c>
      <x:c r="D188" s="27" t="str">
        <x:v>2110732344</x:v>
      </x:c>
      <x:c r="E188" s="28" t="str">
        <x:v>全国白酒定基价格指数:基酒</x:v>
      </x:c>
      <x:c r="F188" s="28" t="str">
        <x:v>National Baijiu Fixed Base Price Index: Base Wine</x:v>
      </x:c>
      <x:c r="G188" s="27" t="str">
        <x:v>旬</x:v>
      </x:c>
      <x:c r="H188" s="27" t="str">
        <x:v>2012年2月=100</x:v>
      </x:c>
      <x:c r="I188" s="27" t="str">
        <x:v>当期值</x:v>
      </x:c>
      <x:c r="J188" s="27" t="str">
        <x:v>全国</x:v>
      </x:c>
      <x:c r="K188" s="27" t="str">
        <x:v>中国</x:v>
      </x:c>
      <x:c r="L188" s="28" t="str">
        <x:v>泸州·中国白酒商品批发价格指数办公室</x:v>
      </x:c>
      <x:c r="M188" s="28" t="str">
        <x:v>getEcoDataIndFoodbeverage</x:v>
      </x:c>
      <x:c r="N188" s="27" t="str">
        <x:v>2013-01-10</x:v>
      </x:c>
      <x:c r="O188" s="27" t="str">
        <x:v>2026-07-31</x:v>
      </x:c>
      <x:c r="P188" s="27" t="str">
        <x:v>持续更新</x:v>
      </x:c>
      <x:c r="Q188" s="27" t="str"/>
      <x:c r="R188" s="28" t="str"/>
    </x:row>
    <x:row r="189" ht="48" customHeight="1">
      <x:c r="A189" s="27" t="str">
        <x:v>801120</x:v>
      </x:c>
      <x:c r="B189" s="27" t="str">
        <x:v>食品饮料</x:v>
      </x:c>
      <x:c r="C189" s="27" t="n">
        <x:v>8</x:v>
      </x:c>
      <x:c r="D189" s="27" t="str">
        <x:v>2110732341</x:v>
      </x:c>
      <x:c r="E189" s="28" t="str">
        <x:v>全国白酒定基价格指数:总指数</x:v>
      </x:c>
      <x:c r="F189" s="28" t="str">
        <x:v>National Baijiu Fixed Base Price Index: Total Index</x:v>
      </x:c>
      <x:c r="G189" s="27" t="str">
        <x:v>旬</x:v>
      </x:c>
      <x:c r="H189" s="27" t="str">
        <x:v>2012年2月=100</x:v>
      </x:c>
      <x:c r="I189" s="27" t="str">
        <x:v>当期值</x:v>
      </x:c>
      <x:c r="J189" s="27" t="str">
        <x:v>全国</x:v>
      </x:c>
      <x:c r="K189" s="27" t="str">
        <x:v>中国</x:v>
      </x:c>
      <x:c r="L189" s="28" t="str">
        <x:v>泸州·中国白酒商品批发价格指数办公室</x:v>
      </x:c>
      <x:c r="M189" s="28" t="str">
        <x:v>getEcoDataIndFoodbeverage</x:v>
      </x:c>
      <x:c r="N189" s="27" t="str">
        <x:v>2013-01-10</x:v>
      </x:c>
      <x:c r="O189" s="27" t="str">
        <x:v>2026-07-31</x:v>
      </x:c>
      <x:c r="P189" s="27" t="str">
        <x:v>持续更新</x:v>
      </x:c>
      <x:c r="Q189" s="27" t="str"/>
      <x:c r="R189" s="28" t="str"/>
    </x:row>
    <x:row r="190" ht="48" customHeight="1">
      <x:c r="A190" s="27" t="str">
        <x:v>801120</x:v>
      </x:c>
      <x:c r="B190" s="27" t="str">
        <x:v>食品饮料</x:v>
      </x:c>
      <x:c r="C190" s="27" t="n">
        <x:v>9</x:v>
      </x:c>
      <x:c r="D190" s="27" t="str">
        <x:v>2110735148</x:v>
      </x:c>
      <x:c r="E190" s="28" t="str">
        <x:v>白酒批发价格指数:总指数:全国:中度:当旬值</x:v>
      </x:c>
      <x:c r="F190" s="28" t="str"/>
      <x:c r="G190" s="27" t="str">
        <x:v>旬</x:v>
      </x:c>
      <x:c r="H190" s="27" t="str">
        <x:v>2012年2月=100</x:v>
      </x:c>
      <x:c r="I190" s="27" t="str">
        <x:v>当期值</x:v>
      </x:c>
      <x:c r="J190" s="27" t="str">
        <x:v>全国</x:v>
      </x:c>
      <x:c r="K190" s="27" t="str">
        <x:v>中国</x:v>
      </x:c>
      <x:c r="L190" s="28" t="str">
        <x:v>泸州·中国白酒商品批发价格指数办公室</x:v>
      </x:c>
      <x:c r="M190" s="28" t="str">
        <x:v>getEcoDataIndFoodbeverage</x:v>
      </x:c>
      <x:c r="N190" s="27" t="str">
        <x:v>2012-03-10</x:v>
      </x:c>
      <x:c r="O190" s="27" t="str">
        <x:v>2026-07-31</x:v>
      </x:c>
      <x:c r="P190" s="27" t="str">
        <x:v>持续更新</x:v>
      </x:c>
      <x:c r="Q190" s="27" t="str"/>
      <x:c r="R190" s="28" t="str"/>
    </x:row>
    <x:row r="191" ht="48" customHeight="1">
      <x:c r="A191" s="27" t="str">
        <x:v>801120</x:v>
      </x:c>
      <x:c r="B191" s="27" t="str">
        <x:v>食品饮料</x:v>
      </x:c>
      <x:c r="C191" s="27" t="n">
        <x:v>10</x:v>
      </x:c>
      <x:c r="D191" s="27" t="str">
        <x:v>2110735149</x:v>
      </x:c>
      <x:c r="E191" s="28" t="str">
        <x:v>白酒批发价格指数:总指数:全国:低度:当旬值</x:v>
      </x:c>
      <x:c r="F191" s="28" t="str"/>
      <x:c r="G191" s="27" t="str">
        <x:v>旬</x:v>
      </x:c>
      <x:c r="H191" s="27" t="str">
        <x:v>2012年2月=100</x:v>
      </x:c>
      <x:c r="I191" s="27" t="str">
        <x:v>当期值</x:v>
      </x:c>
      <x:c r="J191" s="27" t="str">
        <x:v>全国</x:v>
      </x:c>
      <x:c r="K191" s="27" t="str">
        <x:v>中国</x:v>
      </x:c>
      <x:c r="L191" s="28" t="str">
        <x:v>泸州·中国白酒商品批发价格指数办公室</x:v>
      </x:c>
      <x:c r="M191" s="28" t="str">
        <x:v>getEcoDataIndFoodbeverage</x:v>
      </x:c>
      <x:c r="N191" s="27" t="str">
        <x:v>2012-03-10</x:v>
      </x:c>
      <x:c r="O191" s="27" t="str">
        <x:v>2026-07-31</x:v>
      </x:c>
      <x:c r="P191" s="27" t="str">
        <x:v>持续更新</x:v>
      </x:c>
      <x:c r="Q191" s="27" t="str"/>
      <x:c r="R191" s="28" t="str"/>
    </x:row>
    <x:row r="192" ht="48" customHeight="1">
      <x:c r="A192" s="27" t="str">
        <x:v>801120</x:v>
      </x:c>
      <x:c r="B192" s="27" t="str">
        <x:v>食品饮料</x:v>
      </x:c>
      <x:c r="C192" s="27" t="n">
        <x:v>11</x:v>
      </x:c>
      <x:c r="D192" s="27" t="str">
        <x:v>2110735147</x:v>
      </x:c>
      <x:c r="E192" s="28" t="str">
        <x:v>白酒批发价格指数:总指数:全国:高度:当旬值</x:v>
      </x:c>
      <x:c r="F192" s="28" t="str"/>
      <x:c r="G192" s="27" t="str">
        <x:v>旬</x:v>
      </x:c>
      <x:c r="H192" s="27" t="str">
        <x:v>2012年2月=100</x:v>
      </x:c>
      <x:c r="I192" s="27" t="str">
        <x:v>当期值</x:v>
      </x:c>
      <x:c r="J192" s="27" t="str">
        <x:v>全国</x:v>
      </x:c>
      <x:c r="K192" s="27" t="str">
        <x:v>中国</x:v>
      </x:c>
      <x:c r="L192" s="28" t="str">
        <x:v>泸州·中国白酒商品批发价格指数办公室</x:v>
      </x:c>
      <x:c r="M192" s="28" t="str">
        <x:v>getEcoDataIndFoodbeverage</x:v>
      </x:c>
      <x:c r="N192" s="27" t="str">
        <x:v>2012-03-10</x:v>
      </x:c>
      <x:c r="O192" s="27" t="str">
        <x:v>2026-07-31</x:v>
      </x:c>
      <x:c r="P192" s="27" t="str">
        <x:v>持续更新</x:v>
      </x:c>
      <x:c r="Q192" s="27" t="str"/>
      <x:c r="R192" s="28" t="str"/>
    </x:row>
    <x:row r="193" ht="48" customHeight="1">
      <x:c r="A193" s="27" t="str">
        <x:v>801120</x:v>
      </x:c>
      <x:c r="B193" s="27" t="str">
        <x:v>食品饮料</x:v>
      </x:c>
      <x:c r="C193" s="27" t="n">
        <x:v>12</x:v>
      </x:c>
      <x:c r="D193" s="27" t="str">
        <x:v>1040020165</x:v>
      </x:c>
      <x:c r="E193" s="28" t="str">
        <x:v>iCPI:食品烟酒:茶及饮料:环比</x:v>
      </x:c>
      <x:c r="F193" s="28" t="str">
        <x:v>iCPI: Food, Tobacco and Alcohol: Tea and Beverages: DoM</x:v>
      </x:c>
      <x:c r="G193" s="27" t="str">
        <x:v>日</x:v>
      </x:c>
      <x:c r="H193" s="27" t="str">
        <x:v>%</x:v>
      </x:c>
      <x:c r="I193" s="27" t="str">
        <x:v>当期环比</x:v>
      </x:c>
      <x:c r="J193" s="27" t="str">
        <x:v>全国</x:v>
      </x:c>
      <x:c r="K193" s="27" t="str">
        <x:v>中国</x:v>
      </x:c>
      <x:c r="L193" s="28" t="str">
        <x:v>清华大学iCPI项目组</x:v>
      </x:c>
      <x:c r="M193" s="28" t="str">
        <x:v>getEcoDataChina</x:v>
      </x:c>
      <x:c r="N193" s="27" t="str">
        <x:v>2016-01-01</x:v>
      </x:c>
      <x:c r="O193" s="27" t="str">
        <x:v>2026-08-06</x:v>
      </x:c>
      <x:c r="P193" s="27" t="str">
        <x:v>持续更新</x:v>
      </x:c>
      <x:c r="Q193" s="27" t="str"/>
      <x:c r="R193" s="28" t="str"/>
    </x:row>
    <x:row r="194" ht="48" customHeight="1">
      <x:c r="A194" s="27" t="str">
        <x:v>801120</x:v>
      </x:c>
      <x:c r="B194" s="27" t="str">
        <x:v>食品饮料</x:v>
      </x:c>
      <x:c r="C194" s="27" t="n">
        <x:v>13</x:v>
      </x:c>
      <x:c r="D194" s="27" t="str">
        <x:v>2110100015</x:v>
      </x:c>
      <x:c r="E194" s="28" t="str">
        <x:v>产量:乳制品:当月值</x:v>
      </x:c>
      <x:c r="F194" s="28" t="str">
        <x:v>Dairy Products: Output</x:v>
      </x:c>
      <x:c r="G194" s="27" t="str">
        <x:v>月</x:v>
      </x:c>
      <x:c r="H194" s="27" t="str">
        <x:v>万吨</x:v>
      </x:c>
      <x:c r="I194" s="27" t="str">
        <x:v>当期值</x:v>
      </x:c>
      <x:c r="J194" s="27" t="str">
        <x:v>全国</x:v>
      </x:c>
      <x:c r="K194" s="27" t="str">
        <x:v>中国</x:v>
      </x:c>
      <x:c r="L194" s="28" t="str">
        <x:v>国家统计局</x:v>
      </x:c>
      <x:c r="M194" s="28" t="str">
        <x:v>getEcoDataIndFoodbeverage</x:v>
      </x:c>
      <x:c r="N194" s="27" t="str">
        <x:v>1989-01-31</x:v>
      </x:c>
      <x:c r="O194" s="27" t="str">
        <x:v>2026-06-30</x:v>
      </x:c>
      <x:c r="P194" s="27" t="str">
        <x:v>持续更新</x:v>
      </x:c>
      <x:c r="Q194" s="27" t="str"/>
      <x:c r="R194" s="28" t="str"/>
    </x:row>
    <x:row r="195" ht="48" customHeight="1">
      <x:c r="A195" s="27" t="str">
        <x:v>801120</x:v>
      </x:c>
      <x:c r="B195" s="27" t="str">
        <x:v>食品饮料</x:v>
      </x:c>
      <x:c r="C195" s="27" t="n">
        <x:v>14</x:v>
      </x:c>
      <x:c r="D195" s="27" t="str">
        <x:v>2110100041</x:v>
      </x:c>
      <x:c r="E195" s="28" t="str">
        <x:v>产量:卷烟:当月值</x:v>
      </x:c>
      <x:c r="F195" s="28" t="str">
        <x:v>Cigarette: Output</x:v>
      </x:c>
      <x:c r="G195" s="27" t="str">
        <x:v>月</x:v>
      </x:c>
      <x:c r="H195" s="27" t="str">
        <x:v>亿支</x:v>
      </x:c>
      <x:c r="I195" s="27" t="str">
        <x:v>当期值</x:v>
      </x:c>
      <x:c r="J195" s="27" t="str">
        <x:v>全国</x:v>
      </x:c>
      <x:c r="K195" s="27" t="str">
        <x:v>中国</x:v>
      </x:c>
      <x:c r="L195" s="28" t="str">
        <x:v>国家统计局</x:v>
      </x:c>
      <x:c r="M195" s="28" t="str">
        <x:v>getEcoDataIndFoodbeverage</x:v>
      </x:c>
      <x:c r="N195" s="27" t="str">
        <x:v>1989-01-31</x:v>
      </x:c>
      <x:c r="O195" s="27" t="str">
        <x:v>2026-06-30</x:v>
      </x:c>
      <x:c r="P195" s="27" t="str">
        <x:v>持续更新</x:v>
      </x:c>
      <x:c r="Q195" s="27" t="str"/>
      <x:c r="R195" s="28" t="str"/>
    </x:row>
    <x:row r="196" ht="48" customHeight="1">
      <x:c r="A196" s="27" t="str">
        <x:v>801120</x:v>
      </x:c>
      <x:c r="B196" s="27" t="str">
        <x:v>食品饮料</x:v>
      </x:c>
      <x:c r="C196" s="27" t="n">
        <x:v>15</x:v>
      </x:c>
      <x:c r="D196" s="27" t="str">
        <x:v>2110100023</x:v>
      </x:c>
      <x:c r="E196" s="28" t="str">
        <x:v>产量:啤酒:当月值</x:v>
      </x:c>
      <x:c r="F196" s="28" t="str">
        <x:v>Beer: Output</x:v>
      </x:c>
      <x:c r="G196" s="27" t="str">
        <x:v>月</x:v>
      </x:c>
      <x:c r="H196" s="27" t="str">
        <x:v>万千升</x:v>
      </x:c>
      <x:c r="I196" s="27" t="str">
        <x:v>当期值</x:v>
      </x:c>
      <x:c r="J196" s="27" t="str">
        <x:v>全国</x:v>
      </x:c>
      <x:c r="K196" s="27" t="str">
        <x:v>中国</x:v>
      </x:c>
      <x:c r="L196" s="28" t="str">
        <x:v>国家统计局</x:v>
      </x:c>
      <x:c r="M196" s="28" t="str">
        <x:v>getEcoDataIndFoodbeverage</x:v>
      </x:c>
      <x:c r="N196" s="27" t="str">
        <x:v>1989-01-31</x:v>
      </x:c>
      <x:c r="O196" s="27" t="str">
        <x:v>2026-06-30</x:v>
      </x:c>
      <x:c r="P196" s="27" t="str">
        <x:v>持续更新</x:v>
      </x:c>
      <x:c r="Q196" s="27" t="str"/>
      <x:c r="R196" s="28" t="str"/>
    </x:row>
    <x:row r="197" ht="48" customHeight="1">
      <x:c r="A197" s="27" t="str">
        <x:v>801120</x:v>
      </x:c>
      <x:c r="B197" s="27" t="str">
        <x:v>食品饮料</x:v>
      </x:c>
      <x:c r="C197" s="27" t="n">
        <x:v>16</x:v>
      </x:c>
      <x:c r="D197" s="27" t="str">
        <x:v>1020008661</x:v>
      </x:c>
      <x:c r="E197" s="28" t="str">
        <x:v>产量:白酒(折65度,商品量):当月值</x:v>
      </x:c>
      <x:c r="F197" s="28" t="str">
        <x:v>Output: Liquor and Spirits (65%Vol Equivalent, Commodity Quantity): Current Value (Month)</x:v>
      </x:c>
      <x:c r="G197" s="27" t="str">
        <x:v>月</x:v>
      </x:c>
      <x:c r="H197" s="27" t="str">
        <x:v>万千升</x:v>
      </x:c>
      <x:c r="I197" s="27" t="str">
        <x:v>当期值</x:v>
      </x:c>
      <x:c r="J197" s="27" t="str">
        <x:v>全国</x:v>
      </x:c>
      <x:c r="K197" s="27" t="str">
        <x:v>中国</x:v>
      </x:c>
      <x:c r="L197" s="28" t="str">
        <x:v>国家统计局</x:v>
      </x:c>
      <x:c r="M197" s="28" t="str">
        <x:v>getEcoDataChina</x:v>
      </x:c>
      <x:c r="N197" s="27" t="str">
        <x:v>1989-01-31</x:v>
      </x:c>
      <x:c r="O197" s="27" t="str">
        <x:v>2026-06-30</x:v>
      </x:c>
      <x:c r="P197" s="27" t="str">
        <x:v>持续更新</x:v>
      </x:c>
      <x:c r="Q197" s="27" t="str"/>
      <x:c r="R197" s="28" t="str"/>
    </x:row>
    <x:row r="198" ht="48" customHeight="1">
      <x:c r="A198" s="27" t="str">
        <x:v>801120</x:v>
      </x:c>
      <x:c r="B198" s="27" t="str">
        <x:v>食品饮料</x:v>
      </x:c>
      <x:c r="C198" s="27" t="n">
        <x:v>17</x:v>
      </x:c>
      <x:c r="D198" s="27" t="str">
        <x:v>2110100025</x:v>
      </x:c>
      <x:c r="E198" s="28" t="str">
        <x:v>产量:葡萄酒:当月值</x:v>
      </x:c>
      <x:c r="F198" s="28" t="str">
        <x:v>Wine: Output</x:v>
      </x:c>
      <x:c r="G198" s="27" t="str">
        <x:v>月</x:v>
      </x:c>
      <x:c r="H198" s="27" t="str">
        <x:v>万千升</x:v>
      </x:c>
      <x:c r="I198" s="27" t="str">
        <x:v>当期值</x:v>
      </x:c>
      <x:c r="J198" s="27" t="str">
        <x:v>全国</x:v>
      </x:c>
      <x:c r="K198" s="27" t="str">
        <x:v>中国</x:v>
      </x:c>
      <x:c r="L198" s="28" t="str">
        <x:v>国家统计局</x:v>
      </x:c>
      <x:c r="M198" s="28" t="str">
        <x:v>getEcoDataIndFoodbeverage</x:v>
      </x:c>
      <x:c r="N198" s="27" t="str">
        <x:v>2000-05-31</x:v>
      </x:c>
      <x:c r="O198" s="27" t="str">
        <x:v>2026-06-30</x:v>
      </x:c>
      <x:c r="P198" s="27" t="str">
        <x:v>持续更新</x:v>
      </x:c>
      <x:c r="Q198" s="27" t="str"/>
      <x:c r="R198" s="28" t="str"/>
    </x:row>
    <x:row r="199" ht="48" customHeight="1">
      <x:c r="A199" s="27" t="str">
        <x:v>801120</x:v>
      </x:c>
      <x:c r="B199" s="27" t="str">
        <x:v>食品饮料</x:v>
      </x:c>
      <x:c r="C199" s="27" t="n">
        <x:v>18</x:v>
      </x:c>
      <x:c r="D199" s="27" t="str">
        <x:v>2110100043</x:v>
      </x:c>
      <x:c r="E199" s="28" t="str">
        <x:v>产量:软饮料:当月值</x:v>
      </x:c>
      <x:c r="F199" s="28" t="str">
        <x:v>Output: Soft Drinks: Current Value (Month)</x:v>
      </x:c>
      <x:c r="G199" s="27" t="str">
        <x:v>月</x:v>
      </x:c>
      <x:c r="H199" s="27" t="str">
        <x:v>万吨</x:v>
      </x:c>
      <x:c r="I199" s="27" t="str">
        <x:v>当期值</x:v>
      </x:c>
      <x:c r="J199" s="27" t="str">
        <x:v>全国</x:v>
      </x:c>
      <x:c r="K199" s="27" t="str">
        <x:v>中国</x:v>
      </x:c>
      <x:c r="L199" s="28" t="str">
        <x:v>国家统计局</x:v>
      </x:c>
      <x:c r="M199" s="28" t="str">
        <x:v>getEcoDataIndFoodbeverage</x:v>
      </x:c>
      <x:c r="N199" s="27" t="str">
        <x:v>1997-02-28</x:v>
      </x:c>
      <x:c r="O199" s="27" t="str">
        <x:v>2026-06-30</x:v>
      </x:c>
      <x:c r="P199" s="27" t="str">
        <x:v>持续更新</x:v>
      </x:c>
      <x:c r="Q199" s="27" t="str"/>
      <x:c r="R199" s="28" t="str"/>
    </x:row>
    <x:row r="200" ht="48" customHeight="1">
      <x:c r="A200" s="27" t="str">
        <x:v>801120</x:v>
      </x:c>
      <x:c r="B200" s="27" t="str">
        <x:v>食品饮料</x:v>
      </x:c>
      <x:c r="C200" s="27" t="n">
        <x:v>19</x:v>
      </x:c>
      <x:c r="D200" s="27" t="str">
        <x:v>2110731591</x:v>
      </x:c>
      <x:c r="E200" s="28" t="str">
        <x:v>产量:软饮料:当月值:全国</x:v>
      </x:c>
      <x:c r="F200" s="28" t="str">
        <x:v>Output: Soft Drinks: Current Month Value: Nationwide</x:v>
      </x:c>
      <x:c r="G200" s="27" t="str">
        <x:v>月</x:v>
      </x:c>
      <x:c r="H200" s="27" t="str">
        <x:v>吨</x:v>
      </x:c>
      <x:c r="I200" s="27" t="str">
        <x:v>当期值</x:v>
      </x:c>
      <x:c r="J200" s="27" t="str">
        <x:v>全国</x:v>
      </x:c>
      <x:c r="K200" s="27" t="str">
        <x:v>中国</x:v>
      </x:c>
      <x:c r="L200" s="28" t="str">
        <x:v>国家统计局</x:v>
      </x:c>
      <x:c r="M200" s="28" t="str">
        <x:v>getEcoDataIndFoodbeverage</x:v>
      </x:c>
      <x:c r="N200" s="27" t="str">
        <x:v>1999-01-31</x:v>
      </x:c>
      <x:c r="O200" s="27" t="str">
        <x:v>2026-06-30</x:v>
      </x:c>
      <x:c r="P200" s="27" t="str">
        <x:v>持续更新</x:v>
      </x:c>
      <x:c r="Q200" s="27" t="str"/>
      <x:c r="R200" s="28" t="str"/>
    </x:row>
    <x:row r="201" ht="48" customHeight="1">
      <x:c r="A201" s="27" t="str">
        <x:v>801120</x:v>
      </x:c>
      <x:c r="B201" s="27" t="str">
        <x:v>食品饮料</x:v>
      </x:c>
      <x:c r="C201" s="27" t="n">
        <x:v>20</x:v>
      </x:c>
      <x:c r="D201" s="27" t="str">
        <x:v>2110731623</x:v>
      </x:c>
      <x:c r="E201" s="28" t="str">
        <x:v>产量:软饮料:当月同比:全国</x:v>
      </x:c>
      <x:c r="F201" s="28" t="str">
        <x:v>Output: Soft Drinks: Nationwide: YoY</x:v>
      </x:c>
      <x:c r="G201" s="27" t="str">
        <x:v>月</x:v>
      </x:c>
      <x:c r="H201" s="27" t="str">
        <x:v>%</x:v>
      </x:c>
      <x:c r="I201" s="27" t="str">
        <x:v>当期同比</x:v>
      </x:c>
      <x:c r="J201" s="27" t="str">
        <x:v>全国</x:v>
      </x:c>
      <x:c r="K201" s="27" t="str">
        <x:v>中国</x:v>
      </x:c>
      <x:c r="L201" s="28" t="str">
        <x:v>国家统计局</x:v>
      </x:c>
      <x:c r="M201" s="28" t="str">
        <x:v>getEcoDataIndFoodbeverage</x:v>
      </x:c>
      <x:c r="N201" s="27" t="str">
        <x:v>2000-01-31</x:v>
      </x:c>
      <x:c r="O201" s="27" t="str">
        <x:v>2026-06-30</x:v>
      </x:c>
      <x:c r="P201" s="27" t="str">
        <x:v>持续更新</x:v>
      </x:c>
      <x:c r="Q201" s="27" t="str"/>
      <x:c r="R201" s="28" t="str"/>
    </x:row>
    <x:row r="202" ht="48" customHeight="1">
      <x:c r="A202" s="27" t="str">
        <x:v>801120</x:v>
      </x:c>
      <x:c r="B202" s="27" t="str">
        <x:v>食品饮料</x:v>
      </x:c>
      <x:c r="C202" s="27" t="n">
        <x:v>21</x:v>
      </x:c>
      <x:c r="D202" s="27" t="str">
        <x:v>2110731655</x:v>
      </x:c>
      <x:c r="E202" s="28" t="str">
        <x:v>产量:软饮料:累计值:全国</x:v>
      </x:c>
      <x:c r="F202" s="28" t="str">
        <x:v>Output: Soft Drinks: Cumulative Value: Nationwide</x:v>
      </x:c>
      <x:c r="G202" s="27" t="str">
        <x:v>月</x:v>
      </x:c>
      <x:c r="H202" s="27" t="str">
        <x:v>吨</x:v>
      </x:c>
      <x:c r="I202" s="27" t="str">
        <x:v>累计值</x:v>
      </x:c>
      <x:c r="J202" s="27" t="str">
        <x:v>全国</x:v>
      </x:c>
      <x:c r="K202" s="27" t="str">
        <x:v>中国</x:v>
      </x:c>
      <x:c r="L202" s="28" t="str">
        <x:v>国家统计局</x:v>
      </x:c>
      <x:c r="M202" s="28" t="str">
        <x:v>getEcoDataIndFoodbeverage</x:v>
      </x:c>
      <x:c r="N202" s="27" t="str">
        <x:v>1999-01-31</x:v>
      </x:c>
      <x:c r="O202" s="27" t="str">
        <x:v>2026-06-30</x:v>
      </x:c>
      <x:c r="P202" s="27" t="str">
        <x:v>持续更新</x:v>
      </x:c>
      <x:c r="Q202" s="27" t="str"/>
      <x:c r="R202" s="28" t="str"/>
    </x:row>
    <x:row r="203" ht="48" customHeight="1">
      <x:c r="A203" s="27" t="str">
        <x:v>801120</x:v>
      </x:c>
      <x:c r="B203" s="27" t="str">
        <x:v>食品饮料</x:v>
      </x:c>
      <x:c r="C203" s="27" t="n">
        <x:v>22</x:v>
      </x:c>
      <x:c r="D203" s="27" t="str">
        <x:v>2110731687</x:v>
      </x:c>
      <x:c r="E203" s="28" t="str">
        <x:v>产量:软饮料:累计同比:全国</x:v>
      </x:c>
      <x:c r="F203" s="28" t="str">
        <x:v>Output: Soft Drinks: Nationwide: Cumulative YoY</x:v>
      </x:c>
      <x:c r="G203" s="27" t="str">
        <x:v>月</x:v>
      </x:c>
      <x:c r="H203" s="27" t="str">
        <x:v>%</x:v>
      </x:c>
      <x:c r="I203" s="27" t="str">
        <x:v>累计同比</x:v>
      </x:c>
      <x:c r="J203" s="27" t="str">
        <x:v>全国</x:v>
      </x:c>
      <x:c r="K203" s="27" t="str">
        <x:v>中国</x:v>
      </x:c>
      <x:c r="L203" s="28" t="str">
        <x:v>国家统计局</x:v>
      </x:c>
      <x:c r="M203" s="28" t="str">
        <x:v>getEcoDataIndFoodbeverage</x:v>
      </x:c>
      <x:c r="N203" s="27" t="str">
        <x:v>2000-01-31</x:v>
      </x:c>
      <x:c r="O203" s="27" t="str">
        <x:v>2026-06-30</x:v>
      </x:c>
      <x:c r="P203" s="27" t="str">
        <x:v>持续更新</x:v>
      </x:c>
      <x:c r="Q203" s="27" t="str"/>
      <x:c r="R203" s="28" t="str"/>
    </x:row>
    <x:row r="204" ht="48" customHeight="1">
      <x:c r="A204" s="27" t="str">
        <x:v>801120</x:v>
      </x:c>
      <x:c r="B204" s="27" t="str">
        <x:v>食品饮料</x:v>
      </x:c>
      <x:c r="C204" s="27" t="n">
        <x:v>23</x:v>
      </x:c>
      <x:c r="D204" s="27" t="str">
        <x:v>1020021369</x:v>
      </x:c>
      <x:c r="E204" s="28" t="str">
        <x:v>农副食品加工业:利润总额:累计同比增减</x:v>
      </x:c>
      <x:c r="F204" s="28" t="str"/>
      <x:c r="G204" s="27" t="str">
        <x:v>月</x:v>
      </x:c>
      <x:c r="H204" s="27" t="str">
        <x:v>千元</x:v>
      </x:c>
      <x:c r="I204" s="27" t="str">
        <x:v>累计同比增减</x:v>
      </x:c>
      <x:c r="J204" s="27" t="str">
        <x:v>全国</x:v>
      </x:c>
      <x:c r="K204" s="27" t="str">
        <x:v>中国</x:v>
      </x:c>
      <x:c r="L204" s="28" t="str">
        <x:v>国家统计局</x:v>
      </x:c>
      <x:c r="M204" s="28" t="str">
        <x:v>getEcoDataChina</x:v>
      </x:c>
      <x:c r="N204" s="27" t="str">
        <x:v>1999-03-31</x:v>
      </x:c>
      <x:c r="O204" s="27" t="str">
        <x:v>2026-06-30</x:v>
      </x:c>
      <x:c r="P204" s="27" t="str">
        <x:v>持续更新</x:v>
      </x:c>
      <x:c r="Q204" s="27" t="str"/>
      <x:c r="R204" s="28" t="str"/>
    </x:row>
    <x:row r="205" ht="48" customHeight="1">
      <x:c r="A205" s="27" t="str">
        <x:v>801120</x:v>
      </x:c>
      <x:c r="B205" s="27" t="str">
        <x:v>食品饮料</x:v>
      </x:c>
      <x:c r="C205" s="27" t="n">
        <x:v>24</x:v>
      </x:c>
      <x:c r="D205" s="27" t="str">
        <x:v>1020000178</x:v>
      </x:c>
      <x:c r="E205" s="28" t="str">
        <x:v>出口交货值:农副食品加工业:当月同比</x:v>
      </x:c>
      <x:c r="F205" s="28" t="str">
        <x:v>Export Delivery Value: Agricultural Food Processing Industry: Current YoY (Month)</x:v>
      </x:c>
      <x:c r="G205" s="27" t="str">
        <x:v>月</x:v>
      </x:c>
      <x:c r="H205" s="27" t="str">
        <x:v>%</x:v>
      </x:c>
      <x:c r="I205" s="27" t="str">
        <x:v>当期同比</x:v>
      </x:c>
      <x:c r="J205" s="27" t="str">
        <x:v>全国</x:v>
      </x:c>
      <x:c r="K205" s="27" t="str">
        <x:v>中国</x:v>
      </x:c>
      <x:c r="L205" s="28" t="str">
        <x:v>国家统计局</x:v>
      </x:c>
      <x:c r="M205" s="28" t="str">
        <x:v>getEcoDataChina</x:v>
      </x:c>
      <x:c r="N205" s="27" t="str">
        <x:v>2007-02-28</x:v>
      </x:c>
      <x:c r="O205" s="27" t="str">
        <x:v>2026-06-30</x:v>
      </x:c>
      <x:c r="P205" s="27" t="str">
        <x:v>持续更新</x:v>
      </x:c>
      <x:c r="Q205" s="27" t="str"/>
      <x:c r="R205" s="28" t="str"/>
    </x:row>
    <x:row r="206" ht="48" customHeight="1">
      <x:c r="A206" s="27" t="str">
        <x:v>801120</x:v>
      </x:c>
      <x:c r="B206" s="27" t="str">
        <x:v>食品饮料</x:v>
      </x:c>
      <x:c r="C206" s="27" t="n">
        <x:v>25</x:v>
      </x:c>
      <x:c r="D206" s="27" t="str">
        <x:v>1020000137</x:v>
      </x:c>
      <x:c r="E206" s="28" t="str">
        <x:v>出口交货值:农副食品加工业:当期值</x:v>
      </x:c>
      <x:c r="F206" s="28" t="str">
        <x:v>Export Delivery Value: Agricultural Food Processing Industry: Current Value</x:v>
      </x:c>
      <x:c r="G206" s="27" t="str">
        <x:v>月</x:v>
      </x:c>
      <x:c r="H206" s="27" t="str">
        <x:v>亿元</x:v>
      </x:c>
      <x:c r="I206" s="27" t="str">
        <x:v>当期值</x:v>
      </x:c>
      <x:c r="J206" s="27" t="str">
        <x:v>全国</x:v>
      </x:c>
      <x:c r="K206" s="27" t="str">
        <x:v>中国</x:v>
      </x:c>
      <x:c r="L206" s="28" t="str">
        <x:v>国家统计局</x:v>
      </x:c>
      <x:c r="M206" s="28" t="str">
        <x:v>getEcoDataChina</x:v>
      </x:c>
      <x:c r="N206" s="27" t="str">
        <x:v>2007-02-28</x:v>
      </x:c>
      <x:c r="O206" s="27" t="str">
        <x:v>2026-06-30</x:v>
      </x:c>
      <x:c r="P206" s="27" t="str">
        <x:v>持续更新</x:v>
      </x:c>
      <x:c r="Q206" s="27" t="str"/>
      <x:c r="R206" s="28" t="str"/>
    </x:row>
    <x:row r="207" ht="48" customHeight="1">
      <x:c r="A207" s="27" t="str">
        <x:v>801120</x:v>
      </x:c>
      <x:c r="B207" s="27" t="str">
        <x:v>食品饮料</x:v>
      </x:c>
      <x:c r="C207" s="27" t="n">
        <x:v>26</x:v>
      </x:c>
      <x:c r="D207" s="27" t="str">
        <x:v>1020000180</x:v>
      </x:c>
      <x:c r="E207" s="28" t="str">
        <x:v>出口交货值:酒、饮料和精制茶制造业:当月同比</x:v>
      </x:c>
      <x:c r="F207" s="28" t="str">
        <x:v>Export Delivery Value: Wine, Beverage And Refined Tea Manufacturing: Current YoY (Month)</x:v>
      </x:c>
      <x:c r="G207" s="27" t="str">
        <x:v>月</x:v>
      </x:c>
      <x:c r="H207" s="27" t="str">
        <x:v>%</x:v>
      </x:c>
      <x:c r="I207" s="27" t="str">
        <x:v>当期同比</x:v>
      </x:c>
      <x:c r="J207" s="27" t="str">
        <x:v>全国</x:v>
      </x:c>
      <x:c r="K207" s="27" t="str">
        <x:v>中国</x:v>
      </x:c>
      <x:c r="L207" s="28" t="str">
        <x:v>国家统计局</x:v>
      </x:c>
      <x:c r="M207" s="28" t="str">
        <x:v>getEcoDataChina</x:v>
      </x:c>
      <x:c r="N207" s="27" t="str">
        <x:v>2012-02-29</x:v>
      </x:c>
      <x:c r="O207" s="27" t="str">
        <x:v>2026-06-30</x:v>
      </x:c>
      <x:c r="P207" s="27" t="str">
        <x:v>持续更新</x:v>
      </x:c>
      <x:c r="Q207" s="27" t="str"/>
      <x:c r="R207" s="28" t="str"/>
    </x:row>
    <x:row r="208" ht="48" customHeight="1">
      <x:c r="A208" s="27" t="str">
        <x:v>801120</x:v>
      </x:c>
      <x:c r="B208" s="27" t="str">
        <x:v>食品饮料</x:v>
      </x:c>
      <x:c r="C208" s="27" t="n">
        <x:v>27</x:v>
      </x:c>
      <x:c r="D208" s="27" t="str">
        <x:v>1020000139</x:v>
      </x:c>
      <x:c r="E208" s="28" t="str">
        <x:v>出口交货值:酒、饮料和精制茶制造业:当期值</x:v>
      </x:c>
      <x:c r="F208" s="28" t="str">
        <x:v>Export Delivery Value: Wine, Beverage And Refined Tea Manufacturing: Current Value</x:v>
      </x:c>
      <x:c r="G208" s="27" t="str">
        <x:v>月</x:v>
      </x:c>
      <x:c r="H208" s="27" t="str">
        <x:v>亿元</x:v>
      </x:c>
      <x:c r="I208" s="27" t="str">
        <x:v>当期值</x:v>
      </x:c>
      <x:c r="J208" s="27" t="str">
        <x:v>全国</x:v>
      </x:c>
      <x:c r="K208" s="27" t="str">
        <x:v>中国</x:v>
      </x:c>
      <x:c r="L208" s="28" t="str">
        <x:v>国家统计局</x:v>
      </x:c>
      <x:c r="M208" s="28" t="str">
        <x:v>getEcoDataChina</x:v>
      </x:c>
      <x:c r="N208" s="27" t="str">
        <x:v>2012-02-29</x:v>
      </x:c>
      <x:c r="O208" s="27" t="str">
        <x:v>2026-06-30</x:v>
      </x:c>
      <x:c r="P208" s="27" t="str">
        <x:v>持续更新</x:v>
      </x:c>
      <x:c r="Q208" s="27" t="str"/>
      <x:c r="R208" s="28" t="str"/>
    </x:row>
    <x:row r="209" ht="48" customHeight="1">
      <x:c r="A209" s="27" t="str">
        <x:v>801120</x:v>
      </x:c>
      <x:c r="B209" s="27" t="str">
        <x:v>食品饮料</x:v>
      </x:c>
      <x:c r="C209" s="27" t="n">
        <x:v>28</x:v>
      </x:c>
      <x:c r="D209" s="27" t="str">
        <x:v>1020000179</x:v>
      </x:c>
      <x:c r="E209" s="28" t="str">
        <x:v>出口交货值:食品制造业:当月同比</x:v>
      </x:c>
      <x:c r="F209" s="28" t="str">
        <x:v>Export Delivery Value: Food Manufacturing Industry: Current YoY (Month)</x:v>
      </x:c>
      <x:c r="G209" s="27" t="str">
        <x:v>月</x:v>
      </x:c>
      <x:c r="H209" s="27" t="str">
        <x:v>%</x:v>
      </x:c>
      <x:c r="I209" s="27" t="str">
        <x:v>当期同比</x:v>
      </x:c>
      <x:c r="J209" s="27" t="str">
        <x:v>全国</x:v>
      </x:c>
      <x:c r="K209" s="27" t="str">
        <x:v>中国</x:v>
      </x:c>
      <x:c r="L209" s="28" t="str">
        <x:v>国家统计局</x:v>
      </x:c>
      <x:c r="M209" s="28" t="str">
        <x:v>getEcoDataChina</x:v>
      </x:c>
      <x:c r="N209" s="27" t="str">
        <x:v>2007-02-28</x:v>
      </x:c>
      <x:c r="O209" s="27" t="str">
        <x:v>2026-06-30</x:v>
      </x:c>
      <x:c r="P209" s="27" t="str">
        <x:v>持续更新</x:v>
      </x:c>
      <x:c r="Q209" s="27" t="str"/>
      <x:c r="R209" s="28" t="str"/>
    </x:row>
    <x:row r="210" ht="48" customHeight="1">
      <x:c r="A210" s="27" t="str">
        <x:v>801120</x:v>
      </x:c>
      <x:c r="B210" s="27" t="str">
        <x:v>食品饮料</x:v>
      </x:c>
      <x:c r="C210" s="27" t="n">
        <x:v>29</x:v>
      </x:c>
      <x:c r="D210" s="27" t="str">
        <x:v>1020000138</x:v>
      </x:c>
      <x:c r="E210" s="28" t="str">
        <x:v>出口交货值:食品制造业:当期值</x:v>
      </x:c>
      <x:c r="F210" s="28" t="str">
        <x:v>Export Delivery Value: Food Manufacturing Industry: Current Value</x:v>
      </x:c>
      <x:c r="G210" s="27" t="str">
        <x:v>月</x:v>
      </x:c>
      <x:c r="H210" s="27" t="str">
        <x:v>亿元</x:v>
      </x:c>
      <x:c r="I210" s="27" t="str">
        <x:v>当期值</x:v>
      </x:c>
      <x:c r="J210" s="27" t="str">
        <x:v>全国</x:v>
      </x:c>
      <x:c r="K210" s="27" t="str">
        <x:v>中国</x:v>
      </x:c>
      <x:c r="L210" s="28" t="str">
        <x:v>国家统计局</x:v>
      </x:c>
      <x:c r="M210" s="28" t="str">
        <x:v>getEcoDataChina</x:v>
      </x:c>
      <x:c r="N210" s="27" t="str">
        <x:v>2007-02-28</x:v>
      </x:c>
      <x:c r="O210" s="27" t="str">
        <x:v>2026-06-30</x:v>
      </x:c>
      <x:c r="P210" s="27" t="str">
        <x:v>持续更新</x:v>
      </x:c>
      <x:c r="Q210" s="27" t="str"/>
      <x:c r="R210" s="28" t="str"/>
    </x:row>
    <x:row r="211" ht="48" customHeight="1">
      <x:c r="A211" s="27" t="str">
        <x:v>801120</x:v>
      </x:c>
      <x:c r="B211" s="27" t="str">
        <x:v>食品饮料</x:v>
      </x:c>
      <x:c r="C211" s="27" t="n">
        <x:v>30</x:v>
      </x:c>
      <x:c r="D211" s="27" t="str">
        <x:v>2110720687</x:v>
      </x:c>
      <x:c r="E211" s="28" t="str">
        <x:v>出口数量:乳制品:累计值</x:v>
      </x:c>
      <x:c r="F211" s="28" t="str">
        <x:v>Export Volume: Dairy Products: Cumulative Value</x:v>
      </x:c>
      <x:c r="G211" s="27" t="str">
        <x:v>月</x:v>
      </x:c>
      <x:c r="H211" s="27" t="str">
        <x:v>吨</x:v>
      </x:c>
      <x:c r="I211" s="27" t="str">
        <x:v>累计值</x:v>
      </x:c>
      <x:c r="J211" s="27" t="str">
        <x:v>全国</x:v>
      </x:c>
      <x:c r="K211" s="27" t="str">
        <x:v>中国</x:v>
      </x:c>
      <x:c r="L211" s="28" t="str">
        <x:v>中国奶业协会</x:v>
      </x:c>
      <x:c r="M211" s="28" t="str">
        <x:v>getEcoDataIndFoodbeverage</x:v>
      </x:c>
      <x:c r="N211" s="27" t="str">
        <x:v>2018-01-31</x:v>
      </x:c>
      <x:c r="O211" s="27" t="str">
        <x:v>2026-06-30</x:v>
      </x:c>
      <x:c r="P211" s="27" t="str">
        <x:v>持续更新</x:v>
      </x:c>
      <x:c r="Q211" s="27" t="str"/>
      <x:c r="R211" s="28" t="str"/>
    </x:row>
    <x:row r="212" ht="48" customHeight="1">
      <x:c r="A212" s="27" t="str">
        <x:v>801130</x:v>
      </x:c>
      <x:c r="B212" s="27" t="str">
        <x:v>纺织服饰</x:v>
      </x:c>
      <x:c r="C212" s="27" t="n">
        <x:v>1</x:v>
      </x:c>
      <x:c r="D212" s="27" t="str">
        <x:v>1040001913</x:v>
      </x:c>
      <x:c r="E212" s="28" t="str">
        <x:v>国内期货价格:棉花</x:v>
      </x:c>
      <x:c r="F212" s="28" t="str">
        <x:v>Domestic Futures Prices: Cotton</x:v>
      </x:c>
      <x:c r="G212" s="27" t="str">
        <x:v>周</x:v>
      </x:c>
      <x:c r="H212" s="27" t="str">
        <x:v>元/吨</x:v>
      </x:c>
      <x:c r="I212" s="27" t="str">
        <x:v>当期值</x:v>
      </x:c>
      <x:c r="J212" s="27" t="str">
        <x:v>全国</x:v>
      </x:c>
      <x:c r="K212" s="27" t="str">
        <x:v>中国</x:v>
      </x:c>
      <x:c r="L212" s="28" t="str">
        <x:v>商务部</x:v>
      </x:c>
      <x:c r="M212" s="28" t="str">
        <x:v>getEcoDataChina</x:v>
      </x:c>
      <x:c r="N212" s="27" t="str">
        <x:v>2005-04-08</x:v>
      </x:c>
      <x:c r="O212" s="27" t="str">
        <x:v>2026-07-31</x:v>
      </x:c>
      <x:c r="P212" s="27" t="str">
        <x:v>持续更新</x:v>
      </x:c>
      <x:c r="Q212" s="27" t="str"/>
      <x:c r="R212" s="28" t="str"/>
    </x:row>
    <x:row r="213" ht="48" customHeight="1">
      <x:c r="A213" s="27" t="str">
        <x:v>801130</x:v>
      </x:c>
      <x:c r="B213" s="27" t="str">
        <x:v>纺织服饰</x:v>
      </x:c>
      <x:c r="C213" s="27" t="n">
        <x:v>2</x:v>
      </x:c>
      <x:c r="D213" s="27" t="str">
        <x:v>1040002019</x:v>
      </x:c>
      <x:c r="E213" s="28" t="str">
        <x:v>国际期货价格:棉花</x:v>
      </x:c>
      <x:c r="F213" s="28" t="str">
        <x:v>International Futures Prices: Cotton</x:v>
      </x:c>
      <x:c r="G213" s="27" t="str">
        <x:v>周</x:v>
      </x:c>
      <x:c r="H213" s="27" t="str">
        <x:v>美分/磅</x:v>
      </x:c>
      <x:c r="I213" s="27" t="str">
        <x:v>当期值</x:v>
      </x:c>
      <x:c r="J213" s="27" t="str">
        <x:v>全国</x:v>
      </x:c>
      <x:c r="K213" s="27" t="str">
        <x:v>中国</x:v>
      </x:c>
      <x:c r="L213" s="28" t="str">
        <x:v>商务部</x:v>
      </x:c>
      <x:c r="M213" s="28" t="str">
        <x:v>getEcoDataChina</x:v>
      </x:c>
      <x:c r="N213" s="27" t="str">
        <x:v>2005-01-21</x:v>
      </x:c>
      <x:c r="O213" s="27" t="str">
        <x:v>2026-07-31</x:v>
      </x:c>
      <x:c r="P213" s="27" t="str">
        <x:v>持续更新</x:v>
      </x:c>
      <x:c r="Q213" s="27" t="str"/>
      <x:c r="R213" s="28" t="str"/>
    </x:row>
    <x:row r="214" ht="48" customHeight="1">
      <x:c r="A214" s="27" t="str">
        <x:v>801130</x:v>
      </x:c>
      <x:c r="B214" s="27" t="str">
        <x:v>纺织服饰</x:v>
      </x:c>
      <x:c r="C214" s="27" t="n">
        <x:v>3</x:v>
      </x:c>
      <x:c r="D214" s="27" t="str">
        <x:v>1040002014</x:v>
      </x:c>
      <x:c r="E214" s="28" t="str">
        <x:v>国际现货价格:原油(布)</x:v>
      </x:c>
      <x:c r="F214" s="28" t="str">
        <x:v>International Spot Price: Crude Oil (Cloth)</x:v>
      </x:c>
      <x:c r="G214" s="27" t="str">
        <x:v>周</x:v>
      </x:c>
      <x:c r="H214" s="27" t="str">
        <x:v>美元/桶</x:v>
      </x:c>
      <x:c r="I214" s="27" t="str">
        <x:v>当期值</x:v>
      </x:c>
      <x:c r="J214" s="27" t="str">
        <x:v>全国</x:v>
      </x:c>
      <x:c r="K214" s="27" t="str">
        <x:v>中国</x:v>
      </x:c>
      <x:c r="L214" s="28" t="str">
        <x:v>商务部</x:v>
      </x:c>
      <x:c r="M214" s="28" t="str">
        <x:v>getEcoDataChina</x:v>
      </x:c>
      <x:c r="N214" s="27" t="str">
        <x:v>2005-01-21</x:v>
      </x:c>
      <x:c r="O214" s="27" t="str">
        <x:v>2026-07-31</x:v>
      </x:c>
      <x:c r="P214" s="27" t="str">
        <x:v>持续更新</x:v>
      </x:c>
      <x:c r="Q214" s="27" t="str"/>
      <x:c r="R214" s="28" t="str"/>
    </x:row>
    <x:row r="215" ht="48" customHeight="1">
      <x:c r="A215" s="27" t="str">
        <x:v>801130</x:v>
      </x:c>
      <x:c r="B215" s="27" t="str">
        <x:v>纺织服饰</x:v>
      </x:c>
      <x:c r="C215" s="27" t="n">
        <x:v>4</x:v>
      </x:c>
      <x:c r="D215" s="27" t="str">
        <x:v>1020000183</x:v>
      </x:c>
      <x:c r="E215" s="28" t="str">
        <x:v>出口交货值:纺织服装、鞋、帽制造业:当月同比</x:v>
      </x:c>
      <x:c r="F215" s="28" t="str">
        <x:v>Export Delivery Value: Textile And Garment, Shoes, Cap Manufacturing: Current YoY (Month)</x:v>
      </x:c>
      <x:c r="G215" s="27" t="str">
        <x:v>月</x:v>
      </x:c>
      <x:c r="H215" s="27" t="str">
        <x:v>%</x:v>
      </x:c>
      <x:c r="I215" s="27" t="str">
        <x:v>当期同比</x:v>
      </x:c>
      <x:c r="J215" s="27" t="str">
        <x:v>全国</x:v>
      </x:c>
      <x:c r="K215" s="27" t="str">
        <x:v>中国</x:v>
      </x:c>
      <x:c r="L215" s="28" t="str">
        <x:v>国家统计局</x:v>
      </x:c>
      <x:c r="M215" s="28" t="str">
        <x:v>getEcoDataChina</x:v>
      </x:c>
      <x:c r="N215" s="27" t="str">
        <x:v>2007-02-28</x:v>
      </x:c>
      <x:c r="O215" s="27" t="str">
        <x:v>2026-06-30</x:v>
      </x:c>
      <x:c r="P215" s="27" t="str">
        <x:v>持续更新</x:v>
      </x:c>
      <x:c r="Q215" s="27" t="str"/>
      <x:c r="R215" s="28" t="str"/>
    </x:row>
    <x:row r="216" ht="48" customHeight="1">
      <x:c r="A216" s="27" t="str">
        <x:v>801130</x:v>
      </x:c>
      <x:c r="B216" s="27" t="str">
        <x:v>纺织服饰</x:v>
      </x:c>
      <x:c r="C216" s="27" t="n">
        <x:v>5</x:v>
      </x:c>
      <x:c r="D216" s="27" t="str">
        <x:v>1020000142</x:v>
      </x:c>
      <x:c r="E216" s="28" t="str">
        <x:v>出口交货值:纺织服装、鞋、帽制造业:当期值</x:v>
      </x:c>
      <x:c r="F216" s="28" t="str">
        <x:v>Export Delivery Value: Textile And Garment, Shoes, Cap Manufacturing: Current Value</x:v>
      </x:c>
      <x:c r="G216" s="27" t="str">
        <x:v>月</x:v>
      </x:c>
      <x:c r="H216" s="27" t="str">
        <x:v>亿元</x:v>
      </x:c>
      <x:c r="I216" s="27" t="str">
        <x:v>当期值</x:v>
      </x:c>
      <x:c r="J216" s="27" t="str">
        <x:v>全国</x:v>
      </x:c>
      <x:c r="K216" s="27" t="str">
        <x:v>中国</x:v>
      </x:c>
      <x:c r="L216" s="28" t="str">
        <x:v>国家统计局</x:v>
      </x:c>
      <x:c r="M216" s="28" t="str">
        <x:v>getEcoDataChina</x:v>
      </x:c>
      <x:c r="N216" s="27" t="str">
        <x:v>2007-02-28</x:v>
      </x:c>
      <x:c r="O216" s="27" t="str">
        <x:v>2026-06-30</x:v>
      </x:c>
      <x:c r="P216" s="27" t="str">
        <x:v>持续更新</x:v>
      </x:c>
      <x:c r="Q216" s="27" t="str"/>
      <x:c r="R216" s="28" t="str"/>
    </x:row>
    <x:row r="217" ht="48" customHeight="1">
      <x:c r="A217" s="27" t="str">
        <x:v>801130</x:v>
      </x:c>
      <x:c r="B217" s="27" t="str">
        <x:v>纺织服饰</x:v>
      </x:c>
      <x:c r="C217" s="27" t="n">
        <x:v>6</x:v>
      </x:c>
      <x:c r="D217" s="27" t="str">
        <x:v>2120715757</x:v>
      </x:c>
      <x:c r="E217" s="28" t="str">
        <x:v>出口数量:针织物或钩编织物制成的服装(6113):当月值</x:v>
      </x:c>
      <x:c r="F217" s="28" t="str">
        <x:v>Export Quantity: A Garment Made of Knitted or Crocheted Fabric (6113): Current Month Value</x:v>
      </x:c>
      <x:c r="G217" s="27" t="str">
        <x:v>月</x:v>
      </x:c>
      <x:c r="H217" s="27" t="str">
        <x:v>件</x:v>
      </x:c>
      <x:c r="I217" s="27" t="str">
        <x:v>当期值</x:v>
      </x:c>
      <x:c r="J217" s="27" t="str">
        <x:v>中国</x:v>
      </x:c>
      <x:c r="K217" s="27" t="str">
        <x:v>中国</x:v>
      </x:c>
      <x:c r="L217" s="28" t="str">
        <x:v>海关总署</x:v>
      </x:c>
      <x:c r="M217" s="28" t="str">
        <x:v>getEcoDataIndTextileclothing</x:v>
      </x:c>
      <x:c r="N217" s="27" t="str">
        <x:v>2015-01-31</x:v>
      </x:c>
      <x:c r="O217" s="27" t="str">
        <x:v>2026-06-30</x:v>
      </x:c>
      <x:c r="P217" s="27" t="str">
        <x:v>持续更新</x:v>
      </x:c>
      <x:c r="Q217" s="27" t="str"/>
      <x:c r="R217" s="28" t="str"/>
    </x:row>
    <x:row r="218" ht="48" customHeight="1">
      <x:c r="A218" s="27" t="str">
        <x:v>801130</x:v>
      </x:c>
      <x:c r="B218" s="27" t="str">
        <x:v>纺织服饰</x:v>
      </x:c>
      <x:c r="C218" s="27" t="n">
        <x:v>7</x:v>
      </x:c>
      <x:c r="D218" s="27" t="str">
        <x:v>2120714134</x:v>
      </x:c>
      <x:c r="E218" s="28" t="str">
        <x:v>出口金额(美元):化学纤维短纤纺制的纱线,供零售用(5511):当月值</x:v>
      </x:c>
      <x:c r="F218" s="28" t="str">
        <x:v>Export Value (USD): Yarn Made of Chemical Staple Fibers For Retail Use (5511): Current Month Value</x:v>
      </x:c>
      <x:c r="G218" s="27" t="str">
        <x:v>月</x:v>
      </x:c>
      <x:c r="H218" s="27" t="str">
        <x:v>美元</x:v>
      </x:c>
      <x:c r="I218" s="27" t="str">
        <x:v>当期值</x:v>
      </x:c>
      <x:c r="J218" s="27" t="str">
        <x:v>中国</x:v>
      </x:c>
      <x:c r="K218" s="27" t="str">
        <x:v>中国</x:v>
      </x:c>
      <x:c r="L218" s="28" t="str">
        <x:v>海关总署</x:v>
      </x:c>
      <x:c r="M218" s="28" t="str">
        <x:v>getEcoDataIndTextileclothing</x:v>
      </x:c>
      <x:c r="N218" s="27" t="str">
        <x:v>2015-01-31</x:v>
      </x:c>
      <x:c r="O218" s="27" t="str">
        <x:v>2026-06-30</x:v>
      </x:c>
      <x:c r="P218" s="27" t="str">
        <x:v>持续更新</x:v>
      </x:c>
      <x:c r="Q218" s="27" t="str"/>
      <x:c r="R218" s="28" t="str"/>
    </x:row>
    <x:row r="219" ht="48" customHeight="1">
      <x:c r="A219" s="27" t="str">
        <x:v>801130</x:v>
      </x:c>
      <x:c r="B219" s="27" t="str">
        <x:v>纺织服饰</x:v>
      </x:c>
      <x:c r="C219" s="27" t="n">
        <x:v>8</x:v>
      </x:c>
      <x:c r="D219" s="27" t="str">
        <x:v>2120713966</x:v>
      </x:c>
      <x:c r="E219" s="28" t="str">
        <x:v>出口金额(美元):化学纤维长丝纱线,供零售用(5406):当月值</x:v>
      </x:c>
      <x:c r="F219" s="28" t="str">
        <x:v>Export Value (USD): Chemical Fiber Filament Yarn For Retail Use (5406): Current Month Value</x:v>
      </x:c>
      <x:c r="G219" s="27" t="str">
        <x:v>月</x:v>
      </x:c>
      <x:c r="H219" s="27" t="str">
        <x:v>美元</x:v>
      </x:c>
      <x:c r="I219" s="27" t="str">
        <x:v>当期值</x:v>
      </x:c>
      <x:c r="J219" s="27" t="str">
        <x:v>中国</x:v>
      </x:c>
      <x:c r="K219" s="27" t="str">
        <x:v>中国</x:v>
      </x:c>
      <x:c r="L219" s="28" t="str">
        <x:v>海关总署</x:v>
      </x:c>
      <x:c r="M219" s="28" t="str">
        <x:v>getEcoDataIndTextileclothing</x:v>
      </x:c>
      <x:c r="N219" s="27" t="str">
        <x:v>2015-01-31</x:v>
      </x:c>
      <x:c r="O219" s="27" t="str">
        <x:v>2026-06-30</x:v>
      </x:c>
      <x:c r="P219" s="27" t="str">
        <x:v>持续更新</x:v>
      </x:c>
      <x:c r="Q219" s="27" t="str"/>
      <x:c r="R219" s="28" t="str"/>
    </x:row>
    <x:row r="220" ht="48" customHeight="1">
      <x:c r="A220" s="27" t="str">
        <x:v>801130</x:v>
      </x:c>
      <x:c r="B220" s="27" t="str">
        <x:v>纺织服饰</x:v>
      </x:c>
      <x:c r="C220" s="27" t="n">
        <x:v>9</x:v>
      </x:c>
      <x:c r="D220" s="27" t="str">
        <x:v>2120713686</x:v>
      </x:c>
      <x:c r="E220" s="28" t="str">
        <x:v>出口金额(美元):棉纱线,供零售用(5207):当月值</x:v>
      </x:c>
      <x:c r="F220" s="28" t="str">
        <x:v>Export Value (USD): Cotton Yarn For Retail Use (5207): Current Month Value</x:v>
      </x:c>
      <x:c r="G220" s="27" t="str">
        <x:v>月</x:v>
      </x:c>
      <x:c r="H220" s="27" t="str">
        <x:v>美元</x:v>
      </x:c>
      <x:c r="I220" s="27" t="str">
        <x:v>当期值</x:v>
      </x:c>
      <x:c r="J220" s="27" t="str">
        <x:v>中国</x:v>
      </x:c>
      <x:c r="K220" s="27" t="str">
        <x:v>中国</x:v>
      </x:c>
      <x:c r="L220" s="28" t="str">
        <x:v>海关总署</x:v>
      </x:c>
      <x:c r="M220" s="28" t="str">
        <x:v>getEcoDataIndTextileclothing</x:v>
      </x:c>
      <x:c r="N220" s="27" t="str">
        <x:v>2015-01-31</x:v>
      </x:c>
      <x:c r="O220" s="27" t="str">
        <x:v>2026-06-30</x:v>
      </x:c>
      <x:c r="P220" s="27" t="str">
        <x:v>持续更新</x:v>
      </x:c>
      <x:c r="Q220" s="27" t="str"/>
      <x:c r="R220" s="28" t="str"/>
    </x:row>
    <x:row r="221" ht="48" customHeight="1">
      <x:c r="A221" s="27" t="str">
        <x:v>801130</x:v>
      </x:c>
      <x:c r="B221" s="27" t="str">
        <x:v>纺织服饰</x:v>
      </x:c>
      <x:c r="C221" s="27" t="n">
        <x:v>10</x:v>
      </x:c>
      <x:c r="D221" s="27" t="str">
        <x:v>2120713672</x:v>
      </x:c>
      <x:c r="E221" s="28" t="str">
        <x:v>出口金额(美元):棉纱线,按重量计含棉量&lt;85%,非供零售用(5206):当月值</x:v>
      </x:c>
      <x:c r="F221" s="28" t="str">
        <x:v>Export Value (USD): Cotton Yarn, Cotton Content &lt; 85% By Weight, Not For Retail Use (5206): Current Month Value</x:v>
      </x:c>
      <x:c r="G221" s="27" t="str">
        <x:v>月</x:v>
      </x:c>
      <x:c r="H221" s="27" t="str">
        <x:v>美元</x:v>
      </x:c>
      <x:c r="I221" s="27" t="str">
        <x:v>当期值</x:v>
      </x:c>
      <x:c r="J221" s="27" t="str">
        <x:v>中国</x:v>
      </x:c>
      <x:c r="K221" s="27" t="str">
        <x:v>中国</x:v>
      </x:c>
      <x:c r="L221" s="28" t="str">
        <x:v>海关总署</x:v>
      </x:c>
      <x:c r="M221" s="28" t="str">
        <x:v>getEcoDataIndTextileclothing</x:v>
      </x:c>
      <x:c r="N221" s="27" t="str">
        <x:v>2015-01-31</x:v>
      </x:c>
      <x:c r="O221" s="27" t="str">
        <x:v>2026-06-30</x:v>
      </x:c>
      <x:c r="P221" s="27" t="str">
        <x:v>持续更新</x:v>
      </x:c>
      <x:c r="Q221" s="27" t="str"/>
      <x:c r="R221" s="28" t="str"/>
    </x:row>
    <x:row r="222" ht="48" customHeight="1">
      <x:c r="A222" s="27" t="str">
        <x:v>801130</x:v>
      </x:c>
      <x:c r="B222" s="27" t="str">
        <x:v>纺织服饰</x:v>
      </x:c>
      <x:c r="C222" s="27" t="n">
        <x:v>11</x:v>
      </x:c>
      <x:c r="D222" s="27" t="str">
        <x:v>2120713658</x:v>
      </x:c>
      <x:c r="E222" s="28" t="str">
        <x:v>出口金额(美元):棉纱线,按重量计含棉量≥85%,非供零售用(5205):当月值</x:v>
      </x:c>
      <x:c r="F222" s="28" t="str">
        <x:v>Export Value (USD): Cotton Yarn, With Cotton Content ≥ 85% By Weight, Not For Retail Use (5205): Current Month Value</x:v>
      </x:c>
      <x:c r="G222" s="27" t="str">
        <x:v>月</x:v>
      </x:c>
      <x:c r="H222" s="27" t="str">
        <x:v>美元</x:v>
      </x:c>
      <x:c r="I222" s="27" t="str">
        <x:v>当期值</x:v>
      </x:c>
      <x:c r="J222" s="27" t="str">
        <x:v>中国</x:v>
      </x:c>
      <x:c r="K222" s="27" t="str">
        <x:v>中国</x:v>
      </x:c>
      <x:c r="L222" s="28" t="str">
        <x:v>海关总署</x:v>
      </x:c>
      <x:c r="M222" s="28" t="str">
        <x:v>getEcoDataIndTextileclothing</x:v>
      </x:c>
      <x:c r="N222" s="27" t="str">
        <x:v>2015-01-31</x:v>
      </x:c>
      <x:c r="O222" s="27" t="str">
        <x:v>2026-06-30</x:v>
      </x:c>
      <x:c r="P222" s="27" t="str">
        <x:v>持续更新</x:v>
      </x:c>
      <x:c r="Q222" s="27" t="str"/>
      <x:c r="R222" s="28" t="str"/>
    </x:row>
    <x:row r="223" ht="48" customHeight="1">
      <x:c r="A223" s="27" t="str">
        <x:v>801130</x:v>
      </x:c>
      <x:c r="B223" s="27" t="str">
        <x:v>纺织服饰</x:v>
      </x:c>
      <x:c r="C223" s="27" t="n">
        <x:v>12</x:v>
      </x:c>
      <x:c r="D223" s="27" t="str">
        <x:v>2120714876</x:v>
      </x:c>
      <x:c r="E223" s="28" t="str">
        <x:v>出口金额(美元):针织或钩编的其他服装(6114):当月值</x:v>
      </x:c>
      <x:c r="F223" s="28" t="str">
        <x:v>Export Value (USD): Other Garments Knitted or Crocheted (6114): Current Month Value</x:v>
      </x:c>
      <x:c r="G223" s="27" t="str">
        <x:v>月</x:v>
      </x:c>
      <x:c r="H223" s="27" t="str">
        <x:v>美元</x:v>
      </x:c>
      <x:c r="I223" s="27" t="str">
        <x:v>当期值</x:v>
      </x:c>
      <x:c r="J223" s="27" t="str">
        <x:v>中国</x:v>
      </x:c>
      <x:c r="K223" s="27" t="str">
        <x:v>中国</x:v>
      </x:c>
      <x:c r="L223" s="28" t="str">
        <x:v>海关总署</x:v>
      </x:c>
      <x:c r="M223" s="28" t="str">
        <x:v>getEcoDataIndTextileclothing</x:v>
      </x:c>
      <x:c r="N223" s="27" t="str">
        <x:v>2015-01-31</x:v>
      </x:c>
      <x:c r="O223" s="27" t="str">
        <x:v>2026-06-30</x:v>
      </x:c>
      <x:c r="P223" s="27" t="str">
        <x:v>持续更新</x:v>
      </x:c>
      <x:c r="Q223" s="27" t="str"/>
      <x:c r="R223" s="28" t="str"/>
    </x:row>
    <x:row r="224" ht="48" customHeight="1">
      <x:c r="A224" s="27" t="str">
        <x:v>801130</x:v>
      </x:c>
      <x:c r="B224" s="27" t="str">
        <x:v>纺织服饰</x:v>
      </x:c>
      <x:c r="C224" s="27" t="n">
        <x:v>13</x:v>
      </x:c>
      <x:c r="D224" s="27" t="str">
        <x:v>2120714848</x:v>
      </x:c>
      <x:c r="E224" s="28" t="str">
        <x:v>出口金额(美元):针织或钩编的婴儿服装及衣着附件(6111):当月值</x:v>
      </x:c>
      <x:c r="F224" s="28" t="str">
        <x:v>Export Value (USD): Knitted or Crocheted Baby Garments and Clothing Accessories (6111): Current Month Value</x:v>
      </x:c>
      <x:c r="G224" s="27" t="str">
        <x:v>月</x:v>
      </x:c>
      <x:c r="H224" s="27" t="str">
        <x:v>美元</x:v>
      </x:c>
      <x:c r="I224" s="27" t="str">
        <x:v>当期值</x:v>
      </x:c>
      <x:c r="J224" s="27" t="str">
        <x:v>中国</x:v>
      </x:c>
      <x:c r="K224" s="27" t="str">
        <x:v>中国</x:v>
      </x:c>
      <x:c r="L224" s="28" t="str">
        <x:v>海关总署</x:v>
      </x:c>
      <x:c r="M224" s="28" t="str">
        <x:v>getEcoDataIndTextileclothing</x:v>
      </x:c>
      <x:c r="N224" s="27" t="str">
        <x:v>2015-01-31</x:v>
      </x:c>
      <x:c r="O224" s="27" t="str">
        <x:v>2026-06-30</x:v>
      </x:c>
      <x:c r="P224" s="27" t="str">
        <x:v>持续更新</x:v>
      </x:c>
      <x:c r="Q224" s="27" t="str"/>
      <x:c r="R224" s="28" t="str"/>
    </x:row>
    <x:row r="225" ht="48" customHeight="1">
      <x:c r="A225" s="27" t="str">
        <x:v>801130</x:v>
      </x:c>
      <x:c r="B225" s="27" t="str">
        <x:v>纺织服饰</x:v>
      </x:c>
      <x:c r="C225" s="27" t="n">
        <x:v>14</x:v>
      </x:c>
      <x:c r="D225" s="27" t="str">
        <x:v>2120714918</x:v>
      </x:c>
      <x:c r="E225" s="28" t="str">
        <x:v>出口金额(美元):针织或钩编的衣着附件;服装或衣着附件的零件(6117):当月值</x:v>
      </x:c>
      <x:c r="F225" s="28" t="str">
        <x:v>Export Value (USD): Knitted or Crocheted Clothing Accessories;Parts of Clothing or Clothing Accessories (6117): Current Month Value</x:v>
      </x:c>
      <x:c r="G225" s="27" t="str">
        <x:v>月</x:v>
      </x:c>
      <x:c r="H225" s="27" t="str">
        <x:v>美元</x:v>
      </x:c>
      <x:c r="I225" s="27" t="str">
        <x:v>当期值</x:v>
      </x:c>
      <x:c r="J225" s="27" t="str">
        <x:v>中国</x:v>
      </x:c>
      <x:c r="K225" s="27" t="str">
        <x:v>中国</x:v>
      </x:c>
      <x:c r="L225" s="28" t="str">
        <x:v>海关总署</x:v>
      </x:c>
      <x:c r="M225" s="28" t="str">
        <x:v>getEcoDataIndTextileclothing</x:v>
      </x:c>
      <x:c r="N225" s="27" t="str">
        <x:v>2015-01-31</x:v>
      </x:c>
      <x:c r="O225" s="27" t="str">
        <x:v>2026-06-30</x:v>
      </x:c>
      <x:c r="P225" s="27" t="str">
        <x:v>持续更新</x:v>
      </x:c>
      <x:c r="Q225" s="27" t="str"/>
      <x:c r="R225" s="28" t="str"/>
    </x:row>
    <x:row r="226" ht="48" customHeight="1">
      <x:c r="A226" s="27" t="str">
        <x:v>801130</x:v>
      </x:c>
      <x:c r="B226" s="27" t="str">
        <x:v>纺织服饰</x:v>
      </x:c>
      <x:c r="C226" s="27" t="n">
        <x:v>15</x:v>
      </x:c>
      <x:c r="D226" s="27" t="str">
        <x:v>2120715750</x:v>
      </x:c>
      <x:c r="E226" s="28" t="str">
        <x:v>出口金额(美元):针织物或钩编织物制成的服装(6113):当月值</x:v>
      </x:c>
      <x:c r="F226" s="28" t="str">
        <x:v>Export Value (USD): A Garment Made of Knitted or Crocheted Fabric (6113): Current Month Value</x:v>
      </x:c>
      <x:c r="G226" s="27" t="str">
        <x:v>月</x:v>
      </x:c>
      <x:c r="H226" s="27" t="str">
        <x:v>美元</x:v>
      </x:c>
      <x:c r="I226" s="27" t="str">
        <x:v>当期值</x:v>
      </x:c>
      <x:c r="J226" s="27" t="str">
        <x:v>中国</x:v>
      </x:c>
      <x:c r="K226" s="27" t="str">
        <x:v>中国</x:v>
      </x:c>
      <x:c r="L226" s="28" t="str">
        <x:v>海关总署</x:v>
      </x:c>
      <x:c r="M226" s="28" t="str">
        <x:v>getEcoDataIndTextileclothing</x:v>
      </x:c>
      <x:c r="N226" s="27" t="str">
        <x:v>2015-01-31</x:v>
      </x:c>
      <x:c r="O226" s="27" t="str">
        <x:v>2026-06-30</x:v>
      </x:c>
      <x:c r="P226" s="27" t="str">
        <x:v>持续更新</x:v>
      </x:c>
      <x:c r="Q226" s="27" t="str"/>
      <x:c r="R226" s="28" t="str"/>
    </x:row>
    <x:row r="227" ht="48" customHeight="1">
      <x:c r="A227" s="27" t="str">
        <x:v>801130</x:v>
      </x:c>
      <x:c r="B227" s="27" t="str">
        <x:v>纺织服饰</x:v>
      </x:c>
      <x:c r="C227" s="27" t="n">
        <x:v>16</x:v>
      </x:c>
      <x:c r="D227" s="27" t="str">
        <x:v>1020008226</x:v>
      </x:c>
      <x:c r="E227" s="28" t="str">
        <x:v>工业企业:利润总额:纺织服装、服饰业:累计值</x:v>
      </x:c>
      <x:c r="F227" s="28" t="str">
        <x:v>Total Profit: Textile and Apparel Industry: Cumulative Value</x:v>
      </x:c>
      <x:c r="G227" s="27" t="str">
        <x:v>月</x:v>
      </x:c>
      <x:c r="H227" s="27" t="str">
        <x:v>亿元</x:v>
      </x:c>
      <x:c r="I227" s="27" t="str">
        <x:v>累计值</x:v>
      </x:c>
      <x:c r="J227" s="27" t="str">
        <x:v>全国</x:v>
      </x:c>
      <x:c r="K227" s="27" t="str">
        <x:v>中国</x:v>
      </x:c>
      <x:c r="L227" s="28" t="str">
        <x:v>国家统计局</x:v>
      </x:c>
      <x:c r="M227" s="28" t="str">
        <x:v>getEcoDataChina</x:v>
      </x:c>
      <x:c r="N227" s="27" t="str">
        <x:v>2000-02-29</x:v>
      </x:c>
      <x:c r="O227" s="27" t="str">
        <x:v>2026-06-30</x:v>
      </x:c>
      <x:c r="P227" s="27" t="str">
        <x:v>持续更新</x:v>
      </x:c>
      <x:c r="Q227" s="27" t="str"/>
      <x:c r="R227" s="28" t="str"/>
    </x:row>
    <x:row r="228" ht="48" customHeight="1">
      <x:c r="A228" s="27" t="str">
        <x:v>801130</x:v>
      </x:c>
      <x:c r="B228" s="27" t="str">
        <x:v>纺织服饰</x:v>
      </x:c>
      <x:c r="C228" s="27" t="n">
        <x:v>17</x:v>
      </x:c>
      <x:c r="D228" s="27" t="str">
        <x:v>1020010181</x:v>
      </x:c>
      <x:c r="E228" s="28" t="str">
        <x:v>工业企业:营业利润:纺织服装、服饰业:累计值</x:v>
      </x:c>
      <x:c r="F228" s="28" t="str">
        <x:v>Operating Profit: Textile and Apparel Industry: Cumulative Value</x:v>
      </x:c>
      <x:c r="G228" s="27" t="str">
        <x:v>月</x:v>
      </x:c>
      <x:c r="H228" s="27" t="str">
        <x:v>亿元</x:v>
      </x:c>
      <x:c r="I228" s="27" t="str">
        <x:v>累计值</x:v>
      </x:c>
      <x:c r="J228" s="27" t="str">
        <x:v>全国</x:v>
      </x:c>
      <x:c r="K228" s="27" t="str">
        <x:v>中国</x:v>
      </x:c>
      <x:c r="L228" s="28" t="str">
        <x:v>国家统计局</x:v>
      </x:c>
      <x:c r="M228" s="28" t="str">
        <x:v>getEcoDataChina</x:v>
      </x:c>
      <x:c r="N228" s="27" t="str">
        <x:v>2017-02-28</x:v>
      </x:c>
      <x:c r="O228" s="27" t="str">
        <x:v>2026-06-30</x:v>
      </x:c>
      <x:c r="P228" s="27" t="str">
        <x:v>持续更新</x:v>
      </x:c>
      <x:c r="Q228" s="27" t="str"/>
      <x:c r="R228" s="28" t="str"/>
    </x:row>
    <x:row r="229" ht="48" customHeight="1">
      <x:c r="A229" s="27" t="str">
        <x:v>801130</x:v>
      </x:c>
      <x:c r="B229" s="27" t="str">
        <x:v>纺织服饰</x:v>
      </x:c>
      <x:c r="C229" s="27" t="n">
        <x:v>18</x:v>
      </x:c>
      <x:c r="D229" s="27" t="str">
        <x:v>1020000928</x:v>
      </x:c>
      <x:c r="E229" s="28" t="str">
        <x:v>成本费用利润率:纺织服装、服饰业</x:v>
      </x:c>
      <x:c r="F229" s="28" t="str">
        <x:v>Profit-To-Cost Ratio: Textile And Garment, Shoes, Cap Manufacturing</x:v>
      </x:c>
      <x:c r="G229" s="27" t="str">
        <x:v>月</x:v>
      </x:c>
      <x:c r="H229" s="27" t="str">
        <x:v>%</x:v>
      </x:c>
      <x:c r="I229" s="27" t="str">
        <x:v>当期值</x:v>
      </x:c>
      <x:c r="J229" s="27" t="str">
        <x:v>全国</x:v>
      </x:c>
      <x:c r="K229" s="27" t="str">
        <x:v>中国</x:v>
      </x:c>
      <x:c r="L229" s="28" t="str">
        <x:v>国家统计局</x:v>
      </x:c>
      <x:c r="M229" s="28" t="str">
        <x:v>getEcoDataChina</x:v>
      </x:c>
      <x:c r="N229" s="27" t="str">
        <x:v>2003-02-28</x:v>
      </x:c>
      <x:c r="O229" s="27" t="str">
        <x:v>2026-06-30</x:v>
      </x:c>
      <x:c r="P229" s="27" t="str">
        <x:v>持续更新</x:v>
      </x:c>
      <x:c r="Q229" s="27" t="str"/>
      <x:c r="R229" s="28" t="str"/>
    </x:row>
    <x:row r="230" ht="48" customHeight="1">
      <x:c r="A230" s="27" t="str">
        <x:v>801130</x:v>
      </x:c>
      <x:c r="B230" s="27" t="str">
        <x:v>纺织服饰</x:v>
      </x:c>
      <x:c r="C230" s="27" t="n">
        <x:v>19</x:v>
      </x:c>
      <x:c r="D230" s="27" t="str">
        <x:v>1020000848</x:v>
      </x:c>
      <x:c r="E230" s="28" t="str">
        <x:v>税前利润率:纺织服装、服饰业</x:v>
      </x:c>
      <x:c r="F230" s="28" t="str">
        <x:v>Pre-Tax Profit Margin: Textile And Garment, Shoes, Cap Manufacturing</x:v>
      </x:c>
      <x:c r="G230" s="27" t="str">
        <x:v>月</x:v>
      </x:c>
      <x:c r="H230" s="27" t="str">
        <x:v>%</x:v>
      </x:c>
      <x:c r="I230" s="27" t="str">
        <x:v>当期值</x:v>
      </x:c>
      <x:c r="J230" s="27" t="str">
        <x:v>全国</x:v>
      </x:c>
      <x:c r="K230" s="27" t="str">
        <x:v>中国</x:v>
      </x:c>
      <x:c r="L230" s="28" t="str">
        <x:v>国家统计局</x:v>
      </x:c>
      <x:c r="M230" s="28" t="str">
        <x:v>getEcoDataChina</x:v>
      </x:c>
      <x:c r="N230" s="27" t="str">
        <x:v>2001-02-28</x:v>
      </x:c>
      <x:c r="O230" s="27" t="str">
        <x:v>2026-06-30</x:v>
      </x:c>
      <x:c r="P230" s="27" t="str">
        <x:v>持续更新</x:v>
      </x:c>
      <x:c r="Q230" s="27" t="str"/>
      <x:c r="R230" s="28" t="str"/>
    </x:row>
    <x:row r="231" ht="48" customHeight="1">
      <x:c r="A231" s="27" t="str">
        <x:v>801130</x:v>
      </x:c>
      <x:c r="B231" s="27" t="str">
        <x:v>纺织服饰</x:v>
      </x:c>
      <x:c r="C231" s="27" t="n">
        <x:v>20</x:v>
      </x:c>
      <x:c r="D231" s="27" t="str">
        <x:v>2120715759</x:v>
      </x:c>
      <x:c r="E231" s="28" t="str">
        <x:v>进出口数量:针织物或钩编织物制成的服装(6113):当月值</x:v>
      </x:c>
      <x:c r="F231" s="28" t="str">
        <x:v>Import and Export Quantity: A Garment Made of Knitted or Crocheted Fabric (6113): Current Month Value</x:v>
      </x:c>
      <x:c r="G231" s="27" t="str">
        <x:v>月</x:v>
      </x:c>
      <x:c r="H231" s="27" t="str">
        <x:v>件</x:v>
      </x:c>
      <x:c r="I231" s="27" t="str">
        <x:v>当期值</x:v>
      </x:c>
      <x:c r="J231" s="27" t="str">
        <x:v>中国</x:v>
      </x:c>
      <x:c r="K231" s="27" t="str">
        <x:v>中国</x:v>
      </x:c>
      <x:c r="L231" s="28" t="str">
        <x:v>海关总署</x:v>
      </x:c>
      <x:c r="M231" s="28" t="str">
        <x:v>getEcoDataIndTextileclothing</x:v>
      </x:c>
      <x:c r="N231" s="27" t="str">
        <x:v>2015-01-31</x:v>
      </x:c>
      <x:c r="O231" s="27" t="str">
        <x:v>2026-06-30</x:v>
      </x:c>
      <x:c r="P231" s="27" t="str">
        <x:v>持续更新</x:v>
      </x:c>
      <x:c r="Q231" s="27" t="str"/>
      <x:c r="R231" s="28" t="str"/>
    </x:row>
    <x:row r="232" ht="48" customHeight="1">
      <x:c r="A232" s="27" t="str">
        <x:v>801130</x:v>
      </x:c>
      <x:c r="B232" s="27" t="str">
        <x:v>纺织服饰</x:v>
      </x:c>
      <x:c r="C232" s="27" t="n">
        <x:v>21</x:v>
      </x:c>
      <x:c r="D232" s="27" t="str">
        <x:v>2120714136</x:v>
      </x:c>
      <x:c r="E232" s="28" t="str">
        <x:v>进出口金额(美元):化学纤维短纤纺制的纱线,供零售用(5511):当月值</x:v>
      </x:c>
      <x:c r="F232" s="28" t="str">
        <x:v>Import and Export Value (USD): Yarn Made of Chemical Staple Fibers For Retail Use (5511): Current Month Value</x:v>
      </x:c>
      <x:c r="G232" s="27" t="str">
        <x:v>月</x:v>
      </x:c>
      <x:c r="H232" s="27" t="str">
        <x:v>美元</x:v>
      </x:c>
      <x:c r="I232" s="27" t="str">
        <x:v>当期值</x:v>
      </x:c>
      <x:c r="J232" s="27" t="str">
        <x:v>中国</x:v>
      </x:c>
      <x:c r="K232" s="27" t="str">
        <x:v>中国</x:v>
      </x:c>
      <x:c r="L232" s="28" t="str">
        <x:v>海关总署</x:v>
      </x:c>
      <x:c r="M232" s="28" t="str">
        <x:v>getEcoDataIndTextileclothing</x:v>
      </x:c>
      <x:c r="N232" s="27" t="str">
        <x:v>2015-01-31</x:v>
      </x:c>
      <x:c r="O232" s="27" t="str">
        <x:v>2026-06-30</x:v>
      </x:c>
      <x:c r="P232" s="27" t="str">
        <x:v>持续更新</x:v>
      </x:c>
      <x:c r="Q232" s="27" t="str"/>
      <x:c r="R232" s="28" t="str"/>
    </x:row>
    <x:row r="233" ht="48" customHeight="1">
      <x:c r="A233" s="27" t="str">
        <x:v>801130</x:v>
      </x:c>
      <x:c r="B233" s="27" t="str">
        <x:v>纺织服饰</x:v>
      </x:c>
      <x:c r="C233" s="27" t="n">
        <x:v>22</x:v>
      </x:c>
      <x:c r="D233" s="27" t="str">
        <x:v>2120713968</x:v>
      </x:c>
      <x:c r="E233" s="28" t="str">
        <x:v>进出口金额(美元):化学纤维长丝纱线,供零售用(5406):当月值</x:v>
      </x:c>
      <x:c r="F233" s="28" t="str">
        <x:v>Import and Export Value (USD): Chemical Fiber Filament Yarn For Retail Use (5406): Current Month Value</x:v>
      </x:c>
      <x:c r="G233" s="27" t="str">
        <x:v>月</x:v>
      </x:c>
      <x:c r="H233" s="27" t="str">
        <x:v>美元</x:v>
      </x:c>
      <x:c r="I233" s="27" t="str">
        <x:v>当期值</x:v>
      </x:c>
      <x:c r="J233" s="27" t="str">
        <x:v>中国</x:v>
      </x:c>
      <x:c r="K233" s="27" t="str">
        <x:v>中国</x:v>
      </x:c>
      <x:c r="L233" s="28" t="str">
        <x:v>海关总署</x:v>
      </x:c>
      <x:c r="M233" s="28" t="str">
        <x:v>getEcoDataIndTextileclothing</x:v>
      </x:c>
      <x:c r="N233" s="27" t="str">
        <x:v>2015-01-31</x:v>
      </x:c>
      <x:c r="O233" s="27" t="str">
        <x:v>2026-06-30</x:v>
      </x:c>
      <x:c r="P233" s="27" t="str">
        <x:v>持续更新</x:v>
      </x:c>
      <x:c r="Q233" s="27" t="str"/>
      <x:c r="R233" s="28" t="str"/>
    </x:row>
    <x:row r="234" ht="48" customHeight="1">
      <x:c r="A234" s="27" t="str">
        <x:v>801130</x:v>
      </x:c>
      <x:c r="B234" s="27" t="str">
        <x:v>纺织服饰</x:v>
      </x:c>
      <x:c r="C234" s="27" t="n">
        <x:v>23</x:v>
      </x:c>
      <x:c r="D234" s="27" t="str">
        <x:v>2120713688</x:v>
      </x:c>
      <x:c r="E234" s="28" t="str">
        <x:v>进出口金额(美元):棉纱线,供零售用(5207):当月值</x:v>
      </x:c>
      <x:c r="F234" s="28" t="str">
        <x:v>Import and Export Value (USD): Cotton Yarn For Retail Use (5207): Current Month Value</x:v>
      </x:c>
      <x:c r="G234" s="27" t="str">
        <x:v>月</x:v>
      </x:c>
      <x:c r="H234" s="27" t="str">
        <x:v>美元</x:v>
      </x:c>
      <x:c r="I234" s="27" t="str">
        <x:v>当期值</x:v>
      </x:c>
      <x:c r="J234" s="27" t="str">
        <x:v>中国</x:v>
      </x:c>
      <x:c r="K234" s="27" t="str">
        <x:v>中国</x:v>
      </x:c>
      <x:c r="L234" s="28" t="str">
        <x:v>海关总署</x:v>
      </x:c>
      <x:c r="M234" s="28" t="str">
        <x:v>getEcoDataIndTextileclothing</x:v>
      </x:c>
      <x:c r="N234" s="27" t="str">
        <x:v>2015-01-31</x:v>
      </x:c>
      <x:c r="O234" s="27" t="str">
        <x:v>2026-06-30</x:v>
      </x:c>
      <x:c r="P234" s="27" t="str">
        <x:v>持续更新</x:v>
      </x:c>
      <x:c r="Q234" s="27" t="str"/>
      <x:c r="R234" s="28" t="str"/>
    </x:row>
    <x:row r="235" ht="48" customHeight="1">
      <x:c r="A235" s="27" t="str">
        <x:v>801130</x:v>
      </x:c>
      <x:c r="B235" s="27" t="str">
        <x:v>纺织服饰</x:v>
      </x:c>
      <x:c r="C235" s="27" t="n">
        <x:v>24</x:v>
      </x:c>
      <x:c r="D235" s="27" t="str">
        <x:v>2120713674</x:v>
      </x:c>
      <x:c r="E235" s="28" t="str">
        <x:v>进出口金额(美元):棉纱线,按重量计含棉量&lt;85%,非供零售用(5206):当月值</x:v>
      </x:c>
      <x:c r="F235" s="28" t="str">
        <x:v>Import and Export Value (USD): Cotton Yarn, Cotton Content &lt; 85% By Weight, Not For Retail Use (5206): Current Month Value</x:v>
      </x:c>
      <x:c r="G235" s="27" t="str">
        <x:v>月</x:v>
      </x:c>
      <x:c r="H235" s="27" t="str">
        <x:v>美元</x:v>
      </x:c>
      <x:c r="I235" s="27" t="str">
        <x:v>当期值</x:v>
      </x:c>
      <x:c r="J235" s="27" t="str">
        <x:v>中国</x:v>
      </x:c>
      <x:c r="K235" s="27" t="str">
        <x:v>中国</x:v>
      </x:c>
      <x:c r="L235" s="28" t="str">
        <x:v>海关总署</x:v>
      </x:c>
      <x:c r="M235" s="28" t="str">
        <x:v>getEcoDataIndTextileclothing</x:v>
      </x:c>
      <x:c r="N235" s="27" t="str">
        <x:v>2015-01-31</x:v>
      </x:c>
      <x:c r="O235" s="27" t="str">
        <x:v>2026-06-30</x:v>
      </x:c>
      <x:c r="P235" s="27" t="str">
        <x:v>持续更新</x:v>
      </x:c>
      <x:c r="Q235" s="27" t="str"/>
      <x:c r="R235" s="28" t="str"/>
    </x:row>
    <x:row r="236" ht="48" customHeight="1">
      <x:c r="A236" s="27" t="str">
        <x:v>801130</x:v>
      </x:c>
      <x:c r="B236" s="27" t="str">
        <x:v>纺织服饰</x:v>
      </x:c>
      <x:c r="C236" s="27" t="n">
        <x:v>25</x:v>
      </x:c>
      <x:c r="D236" s="27" t="str">
        <x:v>2120713660</x:v>
      </x:c>
      <x:c r="E236" s="28" t="str">
        <x:v>进出口金额(美元):棉纱线,按重量计含棉量≥85%,非供零售用(5205):当月值</x:v>
      </x:c>
      <x:c r="F236" s="28" t="str">
        <x:v>Import and Export Value (USD): Cotton Yarn, With Cotton Content ≥ 85% By Weight, Not For Retail Use (5205): Current Month Value</x:v>
      </x:c>
      <x:c r="G236" s="27" t="str">
        <x:v>月</x:v>
      </x:c>
      <x:c r="H236" s="27" t="str">
        <x:v>美元</x:v>
      </x:c>
      <x:c r="I236" s="27" t="str">
        <x:v>当期值</x:v>
      </x:c>
      <x:c r="J236" s="27" t="str">
        <x:v>中国</x:v>
      </x:c>
      <x:c r="K236" s="27" t="str">
        <x:v>中国</x:v>
      </x:c>
      <x:c r="L236" s="28" t="str">
        <x:v>海关总署</x:v>
      </x:c>
      <x:c r="M236" s="28" t="str">
        <x:v>getEcoDataIndTextileclothing</x:v>
      </x:c>
      <x:c r="N236" s="27" t="str">
        <x:v>2015-01-31</x:v>
      </x:c>
      <x:c r="O236" s="27" t="str">
        <x:v>2026-06-30</x:v>
      </x:c>
      <x:c r="P236" s="27" t="str">
        <x:v>持续更新</x:v>
      </x:c>
      <x:c r="Q236" s="27" t="str"/>
      <x:c r="R236" s="28" t="str"/>
    </x:row>
    <x:row r="237" ht="48" customHeight="1">
      <x:c r="A237" s="27" t="str">
        <x:v>801130</x:v>
      </x:c>
      <x:c r="B237" s="27" t="str">
        <x:v>纺织服饰</x:v>
      </x:c>
      <x:c r="C237" s="27" t="n">
        <x:v>26</x:v>
      </x:c>
      <x:c r="D237" s="27" t="str">
        <x:v>2120714878</x:v>
      </x:c>
      <x:c r="E237" s="28" t="str">
        <x:v>进出口金额(美元):针织或钩编的其他服装(6114):当月值</x:v>
      </x:c>
      <x:c r="F237" s="28" t="str">
        <x:v>Import and Export Value (USD): Other Garments Knitted or Crocheted (6114): Current Month Value</x:v>
      </x:c>
      <x:c r="G237" s="27" t="str">
        <x:v>月</x:v>
      </x:c>
      <x:c r="H237" s="27" t="str">
        <x:v>美元</x:v>
      </x:c>
      <x:c r="I237" s="27" t="str">
        <x:v>当期值</x:v>
      </x:c>
      <x:c r="J237" s="27" t="str">
        <x:v>中国</x:v>
      </x:c>
      <x:c r="K237" s="27" t="str">
        <x:v>中国</x:v>
      </x:c>
      <x:c r="L237" s="28" t="str">
        <x:v>海关总署</x:v>
      </x:c>
      <x:c r="M237" s="28" t="str">
        <x:v>getEcoDataIndTextileclothing</x:v>
      </x:c>
      <x:c r="N237" s="27" t="str">
        <x:v>2015-01-31</x:v>
      </x:c>
      <x:c r="O237" s="27" t="str">
        <x:v>2026-06-30</x:v>
      </x:c>
      <x:c r="P237" s="27" t="str">
        <x:v>持续更新</x:v>
      </x:c>
      <x:c r="Q237" s="27" t="str"/>
      <x:c r="R237" s="28" t="str"/>
    </x:row>
    <x:row r="238" ht="48" customHeight="1">
      <x:c r="A238" s="27" t="str">
        <x:v>801130</x:v>
      </x:c>
      <x:c r="B238" s="27" t="str">
        <x:v>纺织服饰</x:v>
      </x:c>
      <x:c r="C238" s="27" t="n">
        <x:v>27</x:v>
      </x:c>
      <x:c r="D238" s="27" t="str">
        <x:v>2120714850</x:v>
      </x:c>
      <x:c r="E238" s="28" t="str">
        <x:v>进出口金额(美元):针织或钩编的婴儿服装及衣着附件(6111):当月值</x:v>
      </x:c>
      <x:c r="F238" s="28" t="str">
        <x:v>Import and Export Value (USD): Knitted or Crocheted Baby Garments and Clothing Accessories (6111): Current Month Value</x:v>
      </x:c>
      <x:c r="G238" s="27" t="str">
        <x:v>月</x:v>
      </x:c>
      <x:c r="H238" s="27" t="str">
        <x:v>美元</x:v>
      </x:c>
      <x:c r="I238" s="27" t="str">
        <x:v>当期值</x:v>
      </x:c>
      <x:c r="J238" s="27" t="str">
        <x:v>中国</x:v>
      </x:c>
      <x:c r="K238" s="27" t="str">
        <x:v>中国</x:v>
      </x:c>
      <x:c r="L238" s="28" t="str">
        <x:v>海关总署</x:v>
      </x:c>
      <x:c r="M238" s="28" t="str">
        <x:v>getEcoDataIndTextileclothing</x:v>
      </x:c>
      <x:c r="N238" s="27" t="str">
        <x:v>2015-01-31</x:v>
      </x:c>
      <x:c r="O238" s="27" t="str">
        <x:v>2026-06-30</x:v>
      </x:c>
      <x:c r="P238" s="27" t="str">
        <x:v>持续更新</x:v>
      </x:c>
      <x:c r="Q238" s="27" t="str"/>
      <x:c r="R238" s="28" t="str"/>
    </x:row>
    <x:row r="239" ht="48" customHeight="1">
      <x:c r="A239" s="27" t="str">
        <x:v>801130</x:v>
      </x:c>
      <x:c r="B239" s="27" t="str">
        <x:v>纺织服饰</x:v>
      </x:c>
      <x:c r="C239" s="27" t="n">
        <x:v>28</x:v>
      </x:c>
      <x:c r="D239" s="27" t="str">
        <x:v>2120714920</x:v>
      </x:c>
      <x:c r="E239" s="28" t="str">
        <x:v>进出口金额(美元):针织或钩编的衣着附件;服装或衣着附件的零件(6117):当月值</x:v>
      </x:c>
      <x:c r="F239" s="28" t="str">
        <x:v>Import and Export Value (USD): Knitted or Crocheted Clothing Accessories;Parts of Clothing or Clothing Accessories (6117): Current Month Value</x:v>
      </x:c>
      <x:c r="G239" s="27" t="str">
        <x:v>月</x:v>
      </x:c>
      <x:c r="H239" s="27" t="str">
        <x:v>美元</x:v>
      </x:c>
      <x:c r="I239" s="27" t="str">
        <x:v>当期值</x:v>
      </x:c>
      <x:c r="J239" s="27" t="str">
        <x:v>中国</x:v>
      </x:c>
      <x:c r="K239" s="27" t="str">
        <x:v>中国</x:v>
      </x:c>
      <x:c r="L239" s="28" t="str">
        <x:v>海关总署</x:v>
      </x:c>
      <x:c r="M239" s="28" t="str">
        <x:v>getEcoDataIndTextileclothing</x:v>
      </x:c>
      <x:c r="N239" s="27" t="str">
        <x:v>2015-01-31</x:v>
      </x:c>
      <x:c r="O239" s="27" t="str">
        <x:v>2026-06-30</x:v>
      </x:c>
      <x:c r="P239" s="27" t="str">
        <x:v>持续更新</x:v>
      </x:c>
      <x:c r="Q239" s="27" t="str"/>
      <x:c r="R239" s="28" t="str"/>
    </x:row>
    <x:row r="240" ht="48" customHeight="1">
      <x:c r="A240" s="27" t="str">
        <x:v>801130</x:v>
      </x:c>
      <x:c r="B240" s="27" t="str">
        <x:v>纺织服饰</x:v>
      </x:c>
      <x:c r="C240" s="27" t="n">
        <x:v>29</x:v>
      </x:c>
      <x:c r="D240" s="27" t="str">
        <x:v>2120715752</x:v>
      </x:c>
      <x:c r="E240" s="28" t="str">
        <x:v>进出口金额(美元):针织物或钩编织物制成的服装(6113):当月值</x:v>
      </x:c>
      <x:c r="F240" s="28" t="str">
        <x:v>Import and Export Value (USD): A Garment Made of Knitted or Crocheted Fabric (6113): Current Month Value</x:v>
      </x:c>
      <x:c r="G240" s="27" t="str">
        <x:v>月</x:v>
      </x:c>
      <x:c r="H240" s="27" t="str">
        <x:v>美元</x:v>
      </x:c>
      <x:c r="I240" s="27" t="str">
        <x:v>当期值</x:v>
      </x:c>
      <x:c r="J240" s="27" t="str">
        <x:v>中国</x:v>
      </x:c>
      <x:c r="K240" s="27" t="str">
        <x:v>中国</x:v>
      </x:c>
      <x:c r="L240" s="28" t="str">
        <x:v>海关总署</x:v>
      </x:c>
      <x:c r="M240" s="28" t="str">
        <x:v>getEcoDataIndTextileclothing</x:v>
      </x:c>
      <x:c r="N240" s="27" t="str">
        <x:v>2015-01-31</x:v>
      </x:c>
      <x:c r="O240" s="27" t="str">
        <x:v>2026-06-30</x:v>
      </x:c>
      <x:c r="P240" s="27" t="str">
        <x:v>持续更新</x:v>
      </x:c>
      <x:c r="Q240" s="27" t="str"/>
      <x:c r="R240" s="28" t="str"/>
    </x:row>
    <x:row r="241" ht="48" customHeight="1">
      <x:c r="A241" s="27" t="str">
        <x:v>801130</x:v>
      </x:c>
      <x:c r="B241" s="27" t="str">
        <x:v>纺织服饰</x:v>
      </x:c>
      <x:c r="C241" s="27" t="n">
        <x:v>30</x:v>
      </x:c>
      <x:c r="D241" s="27" t="str">
        <x:v>2120200022</x:v>
      </x:c>
      <x:c r="E241" s="28" t="str">
        <x:v>进口数量:棉纱线:当月同比</x:v>
      </x:c>
      <x:c r="F241" s="28" t="str">
        <x:v>Cotton Yarn: Imports Quantity: YoY</x:v>
      </x:c>
      <x:c r="G241" s="27" t="str">
        <x:v>月</x:v>
      </x:c>
      <x:c r="H241" s="27" t="str">
        <x:v>%</x:v>
      </x:c>
      <x:c r="I241" s="27" t="str">
        <x:v>当期同比</x:v>
      </x:c>
      <x:c r="J241" s="27" t="str">
        <x:v>全国</x:v>
      </x:c>
      <x:c r="K241" s="27" t="str">
        <x:v>中国</x:v>
      </x:c>
      <x:c r="L241" s="28" t="str">
        <x:v>海关总署</x:v>
      </x:c>
      <x:c r="M241" s="28" t="str">
        <x:v>getEcoDataIndTextileclothing</x:v>
      </x:c>
      <x:c r="N241" s="27" t="str">
        <x:v>2000-01-31</x:v>
      </x:c>
      <x:c r="O241" s="27" t="str">
        <x:v>2026-06-30</x:v>
      </x:c>
      <x:c r="P241" s="27" t="str">
        <x:v>持续更新</x:v>
      </x:c>
      <x:c r="Q241" s="27" t="str"/>
      <x:c r="R241" s="28" t="str"/>
    </x:row>
    <x:row r="242" ht="48" customHeight="1">
      <x:c r="A242" s="27" t="str">
        <x:v>801140</x:v>
      </x:c>
      <x:c r="B242" s="27" t="str">
        <x:v>轻工制造</x:v>
      </x:c>
      <x:c r="C242" s="27" t="n">
        <x:v>1</x:v>
      </x:c>
      <x:c r="D242" s="27" t="str">
        <x:v>1040002021</x:v>
      </x:c>
      <x:c r="E242" s="28" t="str">
        <x:v>国际期货价格:木材</x:v>
      </x:c>
      <x:c r="F242" s="28" t="str">
        <x:v>International Futures Prices: Wood</x:v>
      </x:c>
      <x:c r="G242" s="27" t="str">
        <x:v>周</x:v>
      </x:c>
      <x:c r="H242" s="27" t="str">
        <x:v>美元/千板英尺</x:v>
      </x:c>
      <x:c r="I242" s="27" t="str">
        <x:v>当期值</x:v>
      </x:c>
      <x:c r="J242" s="27" t="str">
        <x:v>全国</x:v>
      </x:c>
      <x:c r="K242" s="27" t="str">
        <x:v>中国</x:v>
      </x:c>
      <x:c r="L242" s="28" t="str">
        <x:v>商务部</x:v>
      </x:c>
      <x:c r="M242" s="28" t="str">
        <x:v>getEcoDataChina</x:v>
      </x:c>
      <x:c r="N242" s="27" t="str">
        <x:v>2005-01-21</x:v>
      </x:c>
      <x:c r="O242" s="27" t="str">
        <x:v>2026-07-31</x:v>
      </x:c>
      <x:c r="P242" s="27" t="str">
        <x:v>持续更新</x:v>
      </x:c>
      <x:c r="Q242" s="27" t="str"/>
      <x:c r="R242" s="28" t="str"/>
    </x:row>
    <x:row r="243" ht="48" customHeight="1">
      <x:c r="A243" s="27" t="str">
        <x:v>801140</x:v>
      </x:c>
      <x:c r="B243" s="27" t="str">
        <x:v>轻工制造</x:v>
      </x:c>
      <x:c r="C243" s="27" t="n">
        <x:v>2</x:v>
      </x:c>
      <x:c r="D243" s="27" t="str">
        <x:v>1020000189</x:v>
      </x:c>
      <x:c r="E243" s="28" t="str">
        <x:v>出口交货值:文教体育用品制造业:当月同比</x:v>
      </x:c>
      <x:c r="F243" s="28" t="str">
        <x:v>Export Delivery Value: Culture, Education And Sporting Goods Manufacturing Industry: Current YoY (Month)</x:v>
      </x:c>
      <x:c r="G243" s="27" t="str">
        <x:v>月</x:v>
      </x:c>
      <x:c r="H243" s="27" t="str">
        <x:v>%</x:v>
      </x:c>
      <x:c r="I243" s="27" t="str">
        <x:v>当期同比</x:v>
      </x:c>
      <x:c r="J243" s="27" t="str">
        <x:v>全国</x:v>
      </x:c>
      <x:c r="K243" s="27" t="str">
        <x:v>中国</x:v>
      </x:c>
      <x:c r="L243" s="28" t="str">
        <x:v>国家统计局</x:v>
      </x:c>
      <x:c r="M243" s="28" t="str">
        <x:v>getEcoDataChina</x:v>
      </x:c>
      <x:c r="N243" s="27" t="str">
        <x:v>2007-02-28</x:v>
      </x:c>
      <x:c r="O243" s="27" t="str">
        <x:v>2026-06-30</x:v>
      </x:c>
      <x:c r="P243" s="27" t="str">
        <x:v>持续更新</x:v>
      </x:c>
      <x:c r="Q243" s="27" t="str"/>
      <x:c r="R243" s="28" t="str"/>
    </x:row>
    <x:row r="244" ht="48" customHeight="1">
      <x:c r="A244" s="27" t="str">
        <x:v>801140</x:v>
      </x:c>
      <x:c r="B244" s="27" t="str">
        <x:v>轻工制造</x:v>
      </x:c>
      <x:c r="C244" s="27" t="n">
        <x:v>3</x:v>
      </x:c>
      <x:c r="D244" s="27" t="str">
        <x:v>1020000148</x:v>
      </x:c>
      <x:c r="E244" s="28" t="str">
        <x:v>出口交货值:文教体育用品制造业:当期值</x:v>
      </x:c>
      <x:c r="F244" s="28" t="str">
        <x:v>Export Delivery Value: Culture, Education And Sporting Goods Manufacturing Industry: Current Value</x:v>
      </x:c>
      <x:c r="G244" s="27" t="str">
        <x:v>月</x:v>
      </x:c>
      <x:c r="H244" s="27" t="str">
        <x:v>亿元</x:v>
      </x:c>
      <x:c r="I244" s="27" t="str">
        <x:v>当期值</x:v>
      </x:c>
      <x:c r="J244" s="27" t="str">
        <x:v>全国</x:v>
      </x:c>
      <x:c r="K244" s="27" t="str">
        <x:v>中国</x:v>
      </x:c>
      <x:c r="L244" s="28" t="str">
        <x:v>国家统计局</x:v>
      </x:c>
      <x:c r="M244" s="28" t="str">
        <x:v>getEcoDataChina</x:v>
      </x:c>
      <x:c r="N244" s="27" t="str">
        <x:v>2007-02-28</x:v>
      </x:c>
      <x:c r="O244" s="27" t="str">
        <x:v>2026-06-30</x:v>
      </x:c>
      <x:c r="P244" s="27" t="str">
        <x:v>持续更新</x:v>
      </x:c>
      <x:c r="Q244" s="27" t="str"/>
      <x:c r="R244" s="28" t="str"/>
    </x:row>
    <x:row r="245" ht="48" customHeight="1">
      <x:c r="A245" s="27" t="str">
        <x:v>801140</x:v>
      </x:c>
      <x:c r="B245" s="27" t="str">
        <x:v>轻工制造</x:v>
      </x:c>
      <x:c r="C245" s="27" t="n">
        <x:v>4</x:v>
      </x:c>
      <x:c r="D245" s="27" t="str">
        <x:v>1040000980</x:v>
      </x:c>
      <x:c r="E245" s="28" t="str">
        <x:v>工业生产者购进价格指数(PPIRM):木材及纸浆类(上年同月=100)</x:v>
      </x:c>
      <x:c r="F245" s="28" t="str">
        <x:v>PPIRM: Timber and Paper Pulp Categories (CYoY=100)</x:v>
      </x:c>
      <x:c r="G245" s="27" t="str">
        <x:v>月</x:v>
      </x:c>
      <x:c r="H245" s="27" t="str">
        <x:v>上年同月=100</x:v>
      </x:c>
      <x:c r="I245" s="27" t="str">
        <x:v>当期值</x:v>
      </x:c>
      <x:c r="J245" s="27" t="str">
        <x:v>全国</x:v>
      </x:c>
      <x:c r="K245" s="27" t="str">
        <x:v>中国</x:v>
      </x:c>
      <x:c r="L245" s="28" t="str">
        <x:v>国家统计局</x:v>
      </x:c>
      <x:c r="M245" s="28" t="str">
        <x:v>getEcoDataChina</x:v>
      </x:c>
      <x:c r="N245" s="27" t="str">
        <x:v>1988-03-31</x:v>
      </x:c>
      <x:c r="O245" s="27" t="str">
        <x:v>2026-06-30</x:v>
      </x:c>
      <x:c r="P245" s="27" t="str">
        <x:v>持续更新</x:v>
      </x:c>
      <x:c r="Q245" s="27" t="str"/>
      <x:c r="R245" s="28" t="str"/>
    </x:row>
    <x:row r="246" ht="48" customHeight="1">
      <x:c r="A246" s="27" t="str">
        <x:v>801140</x:v>
      </x:c>
      <x:c r="B246" s="27" t="str">
        <x:v>轻工制造</x:v>
      </x:c>
      <x:c r="C246" s="27" t="n">
        <x:v>5</x:v>
      </x:c>
      <x:c r="D246" s="27" t="str">
        <x:v>1040024029</x:v>
      </x:c>
      <x:c r="E246" s="28" t="str">
        <x:v>市场价:林产品:纸浆(进口针叶浆):当期值</x:v>
      </x:c>
      <x:c r="F246" s="28" t="str"/>
      <x:c r="G246" s="27" t="str">
        <x:v>旬</x:v>
      </x:c>
      <x:c r="H246" s="27" t="str">
        <x:v>元/吨</x:v>
      </x:c>
      <x:c r="I246" s="27" t="str">
        <x:v>当期值</x:v>
      </x:c>
      <x:c r="J246" s="27" t="str">
        <x:v>全国</x:v>
      </x:c>
      <x:c r="K246" s="27" t="str">
        <x:v>中国</x:v>
      </x:c>
      <x:c r="L246" s="28" t="str">
        <x:v>国家统计局</x:v>
      </x:c>
      <x:c r="M246" s="28" t="str">
        <x:v>getEcoDataChina</x:v>
      </x:c>
      <x:c r="N246" s="27" t="str">
        <x:v>2013-12-31</x:v>
      </x:c>
      <x:c r="O246" s="27" t="str">
        <x:v>2026-07-31</x:v>
      </x:c>
      <x:c r="P246" s="27" t="str">
        <x:v>持续更新</x:v>
      </x:c>
      <x:c r="Q246" s="27" t="str"/>
      <x:c r="R246" s="28" t="str"/>
    </x:row>
    <x:row r="247" ht="48" customHeight="1">
      <x:c r="A247" s="27" t="str">
        <x:v>801140</x:v>
      </x:c>
      <x:c r="B247" s="27" t="str">
        <x:v>轻工制造</x:v>
      </x:c>
      <x:c r="C247" s="27" t="n">
        <x:v>6</x:v>
      </x:c>
      <x:c r="D247" s="27" t="str">
        <x:v>1040024036</x:v>
      </x:c>
      <x:c r="E247" s="28" t="str">
        <x:v>市场价:林产品:纸浆(进口针叶浆):涨跌幅</x:v>
      </x:c>
      <x:c r="F247" s="28" t="str"/>
      <x:c r="G247" s="27" t="str">
        <x:v>旬</x:v>
      </x:c>
      <x:c r="H247" s="27" t="str">
        <x:v>%</x:v>
      </x:c>
      <x:c r="I247" s="27" t="str">
        <x:v>当期值</x:v>
      </x:c>
      <x:c r="J247" s="27" t="str">
        <x:v>全国</x:v>
      </x:c>
      <x:c r="K247" s="27" t="str">
        <x:v>中国</x:v>
      </x:c>
      <x:c r="L247" s="28" t="str">
        <x:v>国家统计局</x:v>
      </x:c>
      <x:c r="M247" s="28" t="str">
        <x:v>getEcoDataChina</x:v>
      </x:c>
      <x:c r="N247" s="27" t="str">
        <x:v>2014-01-10</x:v>
      </x:c>
      <x:c r="O247" s="27" t="str">
        <x:v>2026-07-31</x:v>
      </x:c>
      <x:c r="P247" s="27" t="str">
        <x:v>持续更新</x:v>
      </x:c>
      <x:c r="Q247" s="27" t="str"/>
      <x:c r="R247" s="28" t="str"/>
    </x:row>
    <x:row r="248" ht="48" customHeight="1">
      <x:c r="A248" s="27" t="str">
        <x:v>801140</x:v>
      </x:c>
      <x:c r="B248" s="27" t="str">
        <x:v>轻工制造</x:v>
      </x:c>
      <x:c r="C248" s="27" t="n">
        <x:v>7</x:v>
      </x:c>
      <x:c r="D248" s="27" t="str">
        <x:v>2130100008</x:v>
      </x:c>
      <x:c r="E248" s="28" t="str">
        <x:v>产量:机制纸及纸板:当月值</x:v>
      </x:c>
      <x:c r="F248" s="28" t="str">
        <x:v>Production: paperboard: current value (month)</x:v>
      </x:c>
      <x:c r="G248" s="27" t="str">
        <x:v>月</x:v>
      </x:c>
      <x:c r="H248" s="27" t="str">
        <x:v>万吨</x:v>
      </x:c>
      <x:c r="I248" s="27" t="str">
        <x:v>当期值</x:v>
      </x:c>
      <x:c r="J248" s="27" t="str">
        <x:v>全国</x:v>
      </x:c>
      <x:c r="K248" s="27" t="str">
        <x:v>中国</x:v>
      </x:c>
      <x:c r="L248" s="28" t="str">
        <x:v>国家统计局</x:v>
      </x:c>
      <x:c r="M248" s="28" t="str">
        <x:v>getEcoDataIndLightmanufactue</x:v>
      </x:c>
      <x:c r="N248" s="27" t="str">
        <x:v>2005-02-28</x:v>
      </x:c>
      <x:c r="O248" s="27" t="str">
        <x:v>2026-06-30</x:v>
      </x:c>
      <x:c r="P248" s="27" t="str">
        <x:v>持续更新</x:v>
      </x:c>
      <x:c r="Q248" s="27" t="str"/>
      <x:c r="R248" s="28" t="str"/>
    </x:row>
    <x:row r="249" ht="48" customHeight="1">
      <x:c r="A249" s="27" t="str">
        <x:v>801140</x:v>
      </x:c>
      <x:c r="B249" s="27" t="str">
        <x:v>轻工制造</x:v>
      </x:c>
      <x:c r="C249" s="27" t="n">
        <x:v>8</x:v>
      </x:c>
      <x:c r="D249" s="27" t="str">
        <x:v>1020000186</x:v>
      </x:c>
      <x:c r="E249" s="28" t="str">
        <x:v>出口交货值:家具制造业:当月同比</x:v>
      </x:c>
      <x:c r="F249" s="28" t="str">
        <x:v>Export Delivery Value: Furniture Manufacturing: Current YoY (Month)</x:v>
      </x:c>
      <x:c r="G249" s="27" t="str">
        <x:v>月</x:v>
      </x:c>
      <x:c r="H249" s="27" t="str">
        <x:v>%</x:v>
      </x:c>
      <x:c r="I249" s="27" t="str">
        <x:v>当期同比</x:v>
      </x:c>
      <x:c r="J249" s="27" t="str">
        <x:v>全国</x:v>
      </x:c>
      <x:c r="K249" s="27" t="str">
        <x:v>中国</x:v>
      </x:c>
      <x:c r="L249" s="28" t="str">
        <x:v>国家统计局</x:v>
      </x:c>
      <x:c r="M249" s="28" t="str">
        <x:v>getEcoDataChina</x:v>
      </x:c>
      <x:c r="N249" s="27" t="str">
        <x:v>2007-02-28</x:v>
      </x:c>
      <x:c r="O249" s="27" t="str">
        <x:v>2026-06-30</x:v>
      </x:c>
      <x:c r="P249" s="27" t="str">
        <x:v>持续更新</x:v>
      </x:c>
      <x:c r="Q249" s="27" t="str"/>
      <x:c r="R249" s="28" t="str"/>
    </x:row>
    <x:row r="250" ht="48" customHeight="1">
      <x:c r="A250" s="27" t="str">
        <x:v>801140</x:v>
      </x:c>
      <x:c r="B250" s="27" t="str">
        <x:v>轻工制造</x:v>
      </x:c>
      <x:c r="C250" s="27" t="n">
        <x:v>9</x:v>
      </x:c>
      <x:c r="D250" s="27" t="str">
        <x:v>1020000145</x:v>
      </x:c>
      <x:c r="E250" s="28" t="str">
        <x:v>出口交货值:家具制造业:当期值</x:v>
      </x:c>
      <x:c r="F250" s="28" t="str">
        <x:v>Export Delivery Value: Furniture Manufacturing: Current Value</x:v>
      </x:c>
      <x:c r="G250" s="27" t="str">
        <x:v>月</x:v>
      </x:c>
      <x:c r="H250" s="27" t="str">
        <x:v>亿元</x:v>
      </x:c>
      <x:c r="I250" s="27" t="str">
        <x:v>当期值</x:v>
      </x:c>
      <x:c r="J250" s="27" t="str">
        <x:v>全国</x:v>
      </x:c>
      <x:c r="K250" s="27" t="str">
        <x:v>中国</x:v>
      </x:c>
      <x:c r="L250" s="28" t="str">
        <x:v>国家统计局</x:v>
      </x:c>
      <x:c r="M250" s="28" t="str">
        <x:v>getEcoDataChina</x:v>
      </x:c>
      <x:c r="N250" s="27" t="str">
        <x:v>2007-02-28</x:v>
      </x:c>
      <x:c r="O250" s="27" t="str">
        <x:v>2026-06-30</x:v>
      </x:c>
      <x:c r="P250" s="27" t="str">
        <x:v>持续更新</x:v>
      </x:c>
      <x:c r="Q250" s="27" t="str"/>
      <x:c r="R250" s="28" t="str"/>
    </x:row>
    <x:row r="251" ht="48" customHeight="1">
      <x:c r="A251" s="27" t="str">
        <x:v>801140</x:v>
      </x:c>
      <x:c r="B251" s="27" t="str">
        <x:v>轻工制造</x:v>
      </x:c>
      <x:c r="C251" s="27" t="n">
        <x:v>10</x:v>
      </x:c>
      <x:c r="D251" s="27" t="str">
        <x:v>1020000185</x:v>
      </x:c>
      <x:c r="E251" s="28" t="str">
        <x:v>出口交货值:木材加工及木、竹、藤、棕、草制品业:当月同比</x:v>
      </x:c>
      <x:c r="F251" s="28" t="str">
        <x:v>Export Delivery Value: Wood Processing And Wood, Bamboo, Rattan, Palm, Straw Products Industry: Current YoY (Month)</x:v>
      </x:c>
      <x:c r="G251" s="27" t="str">
        <x:v>月</x:v>
      </x:c>
      <x:c r="H251" s="27" t="str">
        <x:v>%</x:v>
      </x:c>
      <x:c r="I251" s="27" t="str">
        <x:v>当期同比</x:v>
      </x:c>
      <x:c r="J251" s="27" t="str">
        <x:v>全国</x:v>
      </x:c>
      <x:c r="K251" s="27" t="str">
        <x:v>中国</x:v>
      </x:c>
      <x:c r="L251" s="28" t="str">
        <x:v>国家统计局</x:v>
      </x:c>
      <x:c r="M251" s="28" t="str">
        <x:v>getEcoDataChina</x:v>
      </x:c>
      <x:c r="N251" s="27" t="str">
        <x:v>2007-02-28</x:v>
      </x:c>
      <x:c r="O251" s="27" t="str">
        <x:v>2026-06-30</x:v>
      </x:c>
      <x:c r="P251" s="27" t="str">
        <x:v>持续更新</x:v>
      </x:c>
      <x:c r="Q251" s="27" t="str"/>
      <x:c r="R251" s="28" t="str"/>
    </x:row>
    <x:row r="252" ht="48" customHeight="1">
      <x:c r="A252" s="27" t="str">
        <x:v>801140</x:v>
      </x:c>
      <x:c r="B252" s="27" t="str">
        <x:v>轻工制造</x:v>
      </x:c>
      <x:c r="C252" s="27" t="n">
        <x:v>11</x:v>
      </x:c>
      <x:c r="D252" s="27" t="str">
        <x:v>1020000144</x:v>
      </x:c>
      <x:c r="E252" s="28" t="str">
        <x:v>出口交货值:木材加工及木、竹、藤、棕、草制品业:当期值</x:v>
      </x:c>
      <x:c r="F252" s="28" t="str">
        <x:v>Export Delivery Value: Wood Processing And Wood, Bamboo, Rattan, Palm, Straw Products Industry: Current Value</x:v>
      </x:c>
      <x:c r="G252" s="27" t="str">
        <x:v>月</x:v>
      </x:c>
      <x:c r="H252" s="27" t="str">
        <x:v>亿元</x:v>
      </x:c>
      <x:c r="I252" s="27" t="str">
        <x:v>当期值</x:v>
      </x:c>
      <x:c r="J252" s="27" t="str">
        <x:v>全国</x:v>
      </x:c>
      <x:c r="K252" s="27" t="str">
        <x:v>中国</x:v>
      </x:c>
      <x:c r="L252" s="28" t="str">
        <x:v>国家统计局</x:v>
      </x:c>
      <x:c r="M252" s="28" t="str">
        <x:v>getEcoDataChina</x:v>
      </x:c>
      <x:c r="N252" s="27" t="str">
        <x:v>2007-02-28</x:v>
      </x:c>
      <x:c r="O252" s="27" t="str">
        <x:v>2026-06-30</x:v>
      </x:c>
      <x:c r="P252" s="27" t="str">
        <x:v>持续更新</x:v>
      </x:c>
      <x:c r="Q252" s="27" t="str"/>
      <x:c r="R252" s="28" t="str"/>
    </x:row>
    <x:row r="253" ht="48" customHeight="1">
      <x:c r="A253" s="27" t="str">
        <x:v>801140</x:v>
      </x:c>
      <x:c r="B253" s="27" t="str">
        <x:v>轻工制造</x:v>
      </x:c>
      <x:c r="C253" s="27" t="n">
        <x:v>12</x:v>
      </x:c>
      <x:c r="D253" s="27" t="str">
        <x:v>1020000187</x:v>
      </x:c>
      <x:c r="E253" s="28" t="str">
        <x:v>出口交货值:造纸及纸制品业:当月同比</x:v>
      </x:c>
      <x:c r="F253" s="28" t="str">
        <x:v>Export Delivery Value: Paper And Paper Products Industry: Current YoY (Month)</x:v>
      </x:c>
      <x:c r="G253" s="27" t="str">
        <x:v>月</x:v>
      </x:c>
      <x:c r="H253" s="27" t="str">
        <x:v>%</x:v>
      </x:c>
      <x:c r="I253" s="27" t="str">
        <x:v>当期同比</x:v>
      </x:c>
      <x:c r="J253" s="27" t="str">
        <x:v>全国</x:v>
      </x:c>
      <x:c r="K253" s="27" t="str">
        <x:v>中国</x:v>
      </x:c>
      <x:c r="L253" s="28" t="str">
        <x:v>国家统计局</x:v>
      </x:c>
      <x:c r="M253" s="28" t="str">
        <x:v>getEcoDataChina</x:v>
      </x:c>
      <x:c r="N253" s="27" t="str">
        <x:v>2007-02-28</x:v>
      </x:c>
      <x:c r="O253" s="27" t="str">
        <x:v>2026-06-30</x:v>
      </x:c>
      <x:c r="P253" s="27" t="str">
        <x:v>持续更新</x:v>
      </x:c>
      <x:c r="Q253" s="27" t="str"/>
      <x:c r="R253" s="28" t="str"/>
    </x:row>
    <x:row r="254" ht="48" customHeight="1">
      <x:c r="A254" s="27" t="str">
        <x:v>801140</x:v>
      </x:c>
      <x:c r="B254" s="27" t="str">
        <x:v>轻工制造</x:v>
      </x:c>
      <x:c r="C254" s="27" t="n">
        <x:v>13</x:v>
      </x:c>
      <x:c r="D254" s="27" t="str">
        <x:v>1020000146</x:v>
      </x:c>
      <x:c r="E254" s="28" t="str">
        <x:v>出口交货值:造纸及纸制品业:当期值</x:v>
      </x:c>
      <x:c r="F254" s="28" t="str">
        <x:v>Export Delivery Value: Paper And Paper Products Industry: Current Value</x:v>
      </x:c>
      <x:c r="G254" s="27" t="str">
        <x:v>月</x:v>
      </x:c>
      <x:c r="H254" s="27" t="str">
        <x:v>亿元</x:v>
      </x:c>
      <x:c r="I254" s="27" t="str">
        <x:v>当期值</x:v>
      </x:c>
      <x:c r="J254" s="27" t="str">
        <x:v>全国</x:v>
      </x:c>
      <x:c r="K254" s="27" t="str">
        <x:v>中国</x:v>
      </x:c>
      <x:c r="L254" s="28" t="str">
        <x:v>国家统计局</x:v>
      </x:c>
      <x:c r="M254" s="28" t="str">
        <x:v>getEcoDataChina</x:v>
      </x:c>
      <x:c r="N254" s="27" t="str">
        <x:v>2007-02-28</x:v>
      </x:c>
      <x:c r="O254" s="27" t="str">
        <x:v>2026-06-30</x:v>
      </x:c>
      <x:c r="P254" s="27" t="str">
        <x:v>持续更新</x:v>
      </x:c>
      <x:c r="Q254" s="27" t="str"/>
      <x:c r="R254" s="28" t="str"/>
    </x:row>
    <x:row r="255" ht="48" customHeight="1">
      <x:c r="A255" s="27" t="str">
        <x:v>801140</x:v>
      </x:c>
      <x:c r="B255" s="27" t="str">
        <x:v>轻工制造</x:v>
      </x:c>
      <x:c r="C255" s="27" t="n">
        <x:v>14</x:v>
      </x:c>
      <x:c r="D255" s="27" t="str">
        <x:v>2130712244</x:v>
      </x:c>
      <x:c r="E255" s="28" t="str">
        <x:v>出口数量:成卷或成张的复合纸及纸板,未经表面涂布或未浸渍(4807):当月值</x:v>
      </x:c>
      <x:c r="F255" s="28" t="str">
        <x:v>Export Quantity: Composite Paper and Paperboard In Rolls or Sheets, Uncoated or Not Impregnated (4807): Current Month Value</x:v>
      </x:c>
      <x:c r="G255" s="27" t="str">
        <x:v>月</x:v>
      </x:c>
      <x:c r="H255" s="27" t="str">
        <x:v>千克</x:v>
      </x:c>
      <x:c r="I255" s="27" t="str">
        <x:v>当期值</x:v>
      </x:c>
      <x:c r="J255" s="27" t="str">
        <x:v>中国</x:v>
      </x:c>
      <x:c r="K255" s="27" t="str">
        <x:v>中国</x:v>
      </x:c>
      <x:c r="L255" s="28" t="str">
        <x:v>海关总署</x:v>
      </x:c>
      <x:c r="M255" s="28" t="str">
        <x:v>getEcoDataIndLightmanufactue</x:v>
      </x:c>
      <x:c r="N255" s="27" t="str">
        <x:v>2015-01-31</x:v>
      </x:c>
      <x:c r="O255" s="27" t="str">
        <x:v>2026-06-30</x:v>
      </x:c>
      <x:c r="P255" s="27" t="str">
        <x:v>持续更新</x:v>
      </x:c>
      <x:c r="Q255" s="27" t="str"/>
      <x:c r="R255" s="28" t="str"/>
    </x:row>
    <x:row r="256" ht="48" customHeight="1">
      <x:c r="A256" s="27" t="str">
        <x:v>801140</x:v>
      </x:c>
      <x:c r="B256" s="27" t="str">
        <x:v>轻工制造</x:v>
      </x:c>
      <x:c r="C256" s="27" t="n">
        <x:v>15</x:v>
      </x:c>
      <x:c r="D256" s="27" t="str">
        <x:v>2130712264</x:v>
      </x:c>
      <x:c r="E256" s="28" t="str">
        <x:v>出口数量:纸浆制的滤块、滤板及滤片(4812):当月值</x:v>
      </x:c>
      <x:c r="F256" s="28" t="str">
        <x:v>Export Quantity: Filter Block, Filter Plate and Filter Plate Made of Pulp (4812): Current Month Value</x:v>
      </x:c>
      <x:c r="G256" s="27" t="str">
        <x:v>月</x:v>
      </x:c>
      <x:c r="H256" s="27" t="str">
        <x:v>千克</x:v>
      </x:c>
      <x:c r="I256" s="27" t="str">
        <x:v>当期值</x:v>
      </x:c>
      <x:c r="J256" s="27" t="str">
        <x:v>中国</x:v>
      </x:c>
      <x:c r="K256" s="27" t="str">
        <x:v>中国</x:v>
      </x:c>
      <x:c r="L256" s="28" t="str">
        <x:v>海关总署</x:v>
      </x:c>
      <x:c r="M256" s="28" t="str">
        <x:v>getEcoDataIndLightmanufactue</x:v>
      </x:c>
      <x:c r="N256" s="27" t="str">
        <x:v>2015-01-31</x:v>
      </x:c>
      <x:c r="O256" s="27" t="str">
        <x:v>2026-06-30</x:v>
      </x:c>
      <x:c r="P256" s="27" t="str">
        <x:v>持续更新</x:v>
      </x:c>
      <x:c r="Q256" s="27" t="str"/>
      <x:c r="R256" s="28" t="str"/>
    </x:row>
    <x:row r="257" ht="48" customHeight="1">
      <x:c r="A257" s="27" t="str">
        <x:v>801140</x:v>
      </x:c>
      <x:c r="B257" s="27" t="str">
        <x:v>轻工制造</x:v>
      </x:c>
      <x:c r="C257" s="27" t="n">
        <x:v>16</x:v>
      </x:c>
      <x:c r="D257" s="27" t="str">
        <x:v>2130711821</x:v>
      </x:c>
      <x:c r="E257" s="28" t="str">
        <x:v>出口金额(美元):书写、印刷的未经涂布的纸及纸板;手工制纸及纸板(4802):当月值</x:v>
      </x:c>
      <x:c r="F257" s="28" t="str">
        <x:v>Export Value (USD): Uncoated Paper and Paperboard For Writing and Printing;Handmade Paper and Paperboard (4802): Current Month Value</x:v>
      </x:c>
      <x:c r="G257" s="27" t="str">
        <x:v>月</x:v>
      </x:c>
      <x:c r="H257" s="27" t="str">
        <x:v>美元</x:v>
      </x:c>
      <x:c r="I257" s="27" t="str">
        <x:v>当期值</x:v>
      </x:c>
      <x:c r="J257" s="27" t="str">
        <x:v>中国</x:v>
      </x:c>
      <x:c r="K257" s="27" t="str">
        <x:v>中国</x:v>
      </x:c>
      <x:c r="L257" s="28" t="str">
        <x:v>海关总署</x:v>
      </x:c>
      <x:c r="M257" s="28" t="str">
        <x:v>getEcoDataIndLightmanufactue</x:v>
      </x:c>
      <x:c r="N257" s="27" t="str">
        <x:v>2015-01-31</x:v>
      </x:c>
      <x:c r="O257" s="27" t="str">
        <x:v>2026-06-30</x:v>
      </x:c>
      <x:c r="P257" s="27" t="str">
        <x:v>持续更新</x:v>
      </x:c>
      <x:c r="Q257" s="27" t="str"/>
      <x:c r="R257" s="28" t="str"/>
    </x:row>
    <x:row r="258" ht="48" customHeight="1">
      <x:c r="A258" s="27" t="str">
        <x:v>801140</x:v>
      </x:c>
      <x:c r="B258" s="27" t="str">
        <x:v>轻工制造</x:v>
      </x:c>
      <x:c r="C258" s="27" t="n">
        <x:v>17</x:v>
      </x:c>
      <x:c r="D258" s="27" t="str">
        <x:v>2130711709</x:v>
      </x:c>
      <x:c r="E258" s="28" t="str">
        <x:v>出口金额(美元):木浆及其他纤维状纤维素浆;回收纸及纸板(47):当月值</x:v>
      </x:c>
      <x:c r="F258" s="28" t="str">
        <x:v>Export Value (USD): Wood Pulp and Other Fibrous Cellulosic Pulps; Recovered Paper and Board (47): Current Month Value</x:v>
      </x:c>
      <x:c r="G258" s="27" t="str">
        <x:v>月</x:v>
      </x:c>
      <x:c r="H258" s="27" t="str">
        <x:v>美元</x:v>
      </x:c>
      <x:c r="I258" s="27" t="str">
        <x:v>当期值</x:v>
      </x:c>
      <x:c r="J258" s="27" t="str">
        <x:v>中国</x:v>
      </x:c>
      <x:c r="K258" s="27" t="str">
        <x:v>中国</x:v>
      </x:c>
      <x:c r="L258" s="28" t="str">
        <x:v>海关总署</x:v>
      </x:c>
      <x:c r="M258" s="28" t="str">
        <x:v>getEcoDataIndLightmanufactue</x:v>
      </x:c>
      <x:c r="N258" s="27" t="str">
        <x:v>2015-01-31</x:v>
      </x:c>
      <x:c r="O258" s="27" t="str">
        <x:v>2026-06-30</x:v>
      </x:c>
      <x:c r="P258" s="27" t="str">
        <x:v>持续更新</x:v>
      </x:c>
      <x:c r="Q258" s="27" t="str"/>
      <x:c r="R258" s="28" t="str"/>
    </x:row>
    <x:row r="259" ht="48" customHeight="1">
      <x:c r="A259" s="27" t="str">
        <x:v>801140</x:v>
      </x:c>
      <x:c r="B259" s="27" t="str">
        <x:v>轻工制造</x:v>
      </x:c>
      <x:c r="C259" s="27" t="n">
        <x:v>18</x:v>
      </x:c>
      <x:c r="D259" s="27" t="str">
        <x:v>2130711723</x:v>
      </x:c>
      <x:c r="E259" s="28" t="str">
        <x:v>出口金额(美元):纸及纸板及其他纸板制品(48):当月值</x:v>
      </x:c>
      <x:c r="F259" s="28" t="str">
        <x:v>Export Value (USD): Paper and Cardboard and Other Cardboard Products (48): Current Month Value</x:v>
      </x:c>
      <x:c r="G259" s="27" t="str">
        <x:v>月</x:v>
      </x:c>
      <x:c r="H259" s="27" t="str">
        <x:v>美元</x:v>
      </x:c>
      <x:c r="I259" s="27" t="str">
        <x:v>当期值</x:v>
      </x:c>
      <x:c r="J259" s="27" t="str">
        <x:v>中国</x:v>
      </x:c>
      <x:c r="K259" s="27" t="str">
        <x:v>中国</x:v>
      </x:c>
      <x:c r="L259" s="28" t="str">
        <x:v>海关总署</x:v>
      </x:c>
      <x:c r="M259" s="28" t="str">
        <x:v>getEcoDataIndLightmanufactue</x:v>
      </x:c>
      <x:c r="N259" s="27" t="str">
        <x:v>2015-01-31</x:v>
      </x:c>
      <x:c r="O259" s="27" t="str">
        <x:v>2026-06-30</x:v>
      </x:c>
      <x:c r="P259" s="27" t="str">
        <x:v>持续更新</x:v>
      </x:c>
      <x:c r="Q259" s="27" t="str"/>
      <x:c r="R259" s="28" t="str"/>
    </x:row>
    <x:row r="260" ht="48" customHeight="1">
      <x:c r="A260" s="27" t="str">
        <x:v>801140</x:v>
      </x:c>
      <x:c r="B260" s="27" t="str">
        <x:v>轻工制造</x:v>
      </x:c>
      <x:c r="C260" s="27" t="n">
        <x:v>19</x:v>
      </x:c>
      <x:c r="D260" s="27" t="str">
        <x:v>2130712257</x:v>
      </x:c>
      <x:c r="E260" s="28" t="str">
        <x:v>出口金额(美元):纸浆制的滤块、滤板及滤片(4812):当月值</x:v>
      </x:c>
      <x:c r="F260" s="28" t="str">
        <x:v>Export Value (USD): Filter Block, Filter Plate and Filter Plate Made of Pulp (4812): Current Month Value</x:v>
      </x:c>
      <x:c r="G260" s="27" t="str">
        <x:v>月</x:v>
      </x:c>
      <x:c r="H260" s="27" t="str">
        <x:v>美元</x:v>
      </x:c>
      <x:c r="I260" s="27" t="str">
        <x:v>当期值</x:v>
      </x:c>
      <x:c r="J260" s="27" t="str">
        <x:v>中国</x:v>
      </x:c>
      <x:c r="K260" s="27" t="str">
        <x:v>中国</x:v>
      </x:c>
      <x:c r="L260" s="28" t="str">
        <x:v>海关总署</x:v>
      </x:c>
      <x:c r="M260" s="28" t="str">
        <x:v>getEcoDataIndLightmanufactue</x:v>
      </x:c>
      <x:c r="N260" s="27" t="str">
        <x:v>2015-01-31</x:v>
      </x:c>
      <x:c r="O260" s="27" t="str">
        <x:v>2026-06-30</x:v>
      </x:c>
      <x:c r="P260" s="27" t="str">
        <x:v>持续更新</x:v>
      </x:c>
      <x:c r="Q260" s="27" t="str"/>
      <x:c r="R260" s="28" t="str"/>
    </x:row>
    <x:row r="261" ht="48" customHeight="1">
      <x:c r="A261" s="27" t="str">
        <x:v>801140</x:v>
      </x:c>
      <x:c r="B261" s="27" t="str">
        <x:v>轻工制造</x:v>
      </x:c>
      <x:c r="C261" s="27" t="n">
        <x:v>20</x:v>
      </x:c>
      <x:c r="D261" s="27" t="str">
        <x:v>1020008235</x:v>
      </x:c>
      <x:c r="E261" s="28" t="str">
        <x:v>工业企业:利润总额:家具制造业:累计值</x:v>
      </x:c>
      <x:c r="F261" s="28" t="str">
        <x:v>Total Profit: Furniture Manufacturing Industry: Cumulative Value</x:v>
      </x:c>
      <x:c r="G261" s="27" t="str">
        <x:v>月</x:v>
      </x:c>
      <x:c r="H261" s="27" t="str">
        <x:v>亿元</x:v>
      </x:c>
      <x:c r="I261" s="27" t="str">
        <x:v>累计值</x:v>
      </x:c>
      <x:c r="J261" s="27" t="str">
        <x:v>全国</x:v>
      </x:c>
      <x:c r="K261" s="27" t="str">
        <x:v>中国</x:v>
      </x:c>
      <x:c r="L261" s="28" t="str">
        <x:v>国家统计局</x:v>
      </x:c>
      <x:c r="M261" s="28" t="str">
        <x:v>getEcoDataChina</x:v>
      </x:c>
      <x:c r="N261" s="27" t="str">
        <x:v>2000-02-29</x:v>
      </x:c>
      <x:c r="O261" s="27" t="str">
        <x:v>2026-06-30</x:v>
      </x:c>
      <x:c r="P261" s="27" t="str">
        <x:v>持续更新</x:v>
      </x:c>
      <x:c r="Q261" s="27" t="str"/>
      <x:c r="R261" s="28" t="str"/>
    </x:row>
    <x:row r="262" ht="48" customHeight="1">
      <x:c r="A262" s="27" t="str">
        <x:v>801140</x:v>
      </x:c>
      <x:c r="B262" s="27" t="str">
        <x:v>轻工制造</x:v>
      </x:c>
      <x:c r="C262" s="27" t="n">
        <x:v>21</x:v>
      </x:c>
      <x:c r="D262" s="27" t="str">
        <x:v>1020008244</x:v>
      </x:c>
      <x:c r="E262" s="28" t="str">
        <x:v>工业企业:利润总额:文教、工美、体育和娱乐用品制造业:累计值</x:v>
      </x:c>
      <x:c r="F262" s="28" t="str">
        <x:v>Total Profit: Culture, Education, Arts and Crafts, Sports and Entertainment Products Manufacturing Industry: Cumulative Value</x:v>
      </x:c>
      <x:c r="G262" s="27" t="str">
        <x:v>月</x:v>
      </x:c>
      <x:c r="H262" s="27" t="str">
        <x:v>亿元</x:v>
      </x:c>
      <x:c r="I262" s="27" t="str">
        <x:v>累计值</x:v>
      </x:c>
      <x:c r="J262" s="27" t="str">
        <x:v>全国</x:v>
      </x:c>
      <x:c r="K262" s="27" t="str">
        <x:v>中国</x:v>
      </x:c>
      <x:c r="L262" s="28" t="str">
        <x:v>国家统计局</x:v>
      </x:c>
      <x:c r="M262" s="28" t="str">
        <x:v>getEcoDataChina</x:v>
      </x:c>
      <x:c r="N262" s="27" t="str">
        <x:v>2000-02-29</x:v>
      </x:c>
      <x:c r="O262" s="27" t="str">
        <x:v>2026-06-30</x:v>
      </x:c>
      <x:c r="P262" s="27" t="str">
        <x:v>持续更新</x:v>
      </x:c>
      <x:c r="Q262" s="27" t="str"/>
      <x:c r="R262" s="28" t="str"/>
    </x:row>
    <x:row r="263" ht="48" customHeight="1">
      <x:c r="A263" s="27" t="str">
        <x:v>801140</x:v>
      </x:c>
      <x:c r="B263" s="27" t="str">
        <x:v>轻工制造</x:v>
      </x:c>
      <x:c r="C263" s="27" t="n">
        <x:v>22</x:v>
      </x:c>
      <x:c r="D263" s="27" t="str">
        <x:v>1020008232</x:v>
      </x:c>
      <x:c r="E263" s="28" t="str">
        <x:v>工业企业:利润总额:木材加工和木、竹、藤、棕、草制品业:累计值</x:v>
      </x:c>
      <x:c r="F263" s="28" t="str">
        <x:v>Total Profit: Wood Processing and Wood, Bamboo, Rattan, Palm and Straw Manufacturing Industry: Cumulative Value</x:v>
      </x:c>
      <x:c r="G263" s="27" t="str">
        <x:v>月</x:v>
      </x:c>
      <x:c r="H263" s="27" t="str">
        <x:v>亿元</x:v>
      </x:c>
      <x:c r="I263" s="27" t="str">
        <x:v>累计值</x:v>
      </x:c>
      <x:c r="J263" s="27" t="str">
        <x:v>全国</x:v>
      </x:c>
      <x:c r="K263" s="27" t="str">
        <x:v>中国</x:v>
      </x:c>
      <x:c r="L263" s="28" t="str">
        <x:v>国家统计局</x:v>
      </x:c>
      <x:c r="M263" s="28" t="str">
        <x:v>getEcoDataChina</x:v>
      </x:c>
      <x:c r="N263" s="27" t="str">
        <x:v>2000-02-29</x:v>
      </x:c>
      <x:c r="O263" s="27" t="str">
        <x:v>2026-06-30</x:v>
      </x:c>
      <x:c r="P263" s="27" t="str">
        <x:v>持续更新</x:v>
      </x:c>
      <x:c r="Q263" s="27" t="str"/>
      <x:c r="R263" s="28" t="str"/>
    </x:row>
    <x:row r="264" ht="48" customHeight="1">
      <x:c r="A264" s="27" t="str">
        <x:v>801140</x:v>
      </x:c>
      <x:c r="B264" s="27" t="str">
        <x:v>轻工制造</x:v>
      </x:c>
      <x:c r="C264" s="27" t="n">
        <x:v>23</x:v>
      </x:c>
      <x:c r="D264" s="27" t="str">
        <x:v>1020008238</x:v>
      </x:c>
      <x:c r="E264" s="28" t="str">
        <x:v>工业企业:利润总额:造纸和纸制品业:累计值</x:v>
      </x:c>
      <x:c r="F264" s="28" t="str">
        <x:v>Total Profit: pulp &amp; paper industry: Cumulative value</x:v>
      </x:c>
      <x:c r="G264" s="27" t="str">
        <x:v>月</x:v>
      </x:c>
      <x:c r="H264" s="27" t="str">
        <x:v>亿元</x:v>
      </x:c>
      <x:c r="I264" s="27" t="str">
        <x:v>累计值</x:v>
      </x:c>
      <x:c r="J264" s="27" t="str">
        <x:v>全国</x:v>
      </x:c>
      <x:c r="K264" s="27" t="str">
        <x:v>中国</x:v>
      </x:c>
      <x:c r="L264" s="28" t="str">
        <x:v>国家统计局</x:v>
      </x:c>
      <x:c r="M264" s="28" t="str">
        <x:v>getEcoDataChina</x:v>
      </x:c>
      <x:c r="N264" s="27" t="str">
        <x:v>2000-02-29</x:v>
      </x:c>
      <x:c r="O264" s="27" t="str">
        <x:v>2026-06-30</x:v>
      </x:c>
      <x:c r="P264" s="27" t="str">
        <x:v>持续更新</x:v>
      </x:c>
      <x:c r="Q264" s="27" t="str"/>
      <x:c r="R264" s="28" t="str"/>
    </x:row>
    <x:row r="265" ht="48" customHeight="1">
      <x:c r="A265" s="27" t="str">
        <x:v>801140</x:v>
      </x:c>
      <x:c r="B265" s="27" t="str">
        <x:v>轻工制造</x:v>
      </x:c>
      <x:c r="C265" s="27" t="n">
        <x:v>24</x:v>
      </x:c>
      <x:c r="D265" s="27" t="str">
        <x:v>1020010184</x:v>
      </x:c>
      <x:c r="E265" s="28" t="str">
        <x:v>工业企业:营业利润:家具制造业:累计值</x:v>
      </x:c>
      <x:c r="F265" s="28" t="str">
        <x:v>Operating Profit: Furniture Manufacturing Industry: Cumulative Value</x:v>
      </x:c>
      <x:c r="G265" s="27" t="str">
        <x:v>月</x:v>
      </x:c>
      <x:c r="H265" s="27" t="str">
        <x:v>亿元</x:v>
      </x:c>
      <x:c r="I265" s="27" t="str">
        <x:v>累计值</x:v>
      </x:c>
      <x:c r="J265" s="27" t="str">
        <x:v>全国</x:v>
      </x:c>
      <x:c r="K265" s="27" t="str">
        <x:v>中国</x:v>
      </x:c>
      <x:c r="L265" s="28" t="str">
        <x:v>国家统计局</x:v>
      </x:c>
      <x:c r="M265" s="28" t="str">
        <x:v>getEcoDataChina</x:v>
      </x:c>
      <x:c r="N265" s="27" t="str">
        <x:v>2017-02-28</x:v>
      </x:c>
      <x:c r="O265" s="27" t="str">
        <x:v>2026-06-30</x:v>
      </x:c>
      <x:c r="P265" s="27" t="str">
        <x:v>持续更新</x:v>
      </x:c>
      <x:c r="Q265" s="27" t="str"/>
      <x:c r="R265" s="28" t="str"/>
    </x:row>
    <x:row r="266" ht="48" customHeight="1">
      <x:c r="A266" s="27" t="str">
        <x:v>801140</x:v>
      </x:c>
      <x:c r="B266" s="27" t="str">
        <x:v>轻工制造</x:v>
      </x:c>
      <x:c r="C266" s="27" t="n">
        <x:v>25</x:v>
      </x:c>
      <x:c r="D266" s="27" t="str">
        <x:v>1020010187</x:v>
      </x:c>
      <x:c r="E266" s="28" t="str">
        <x:v>工业企业:营业利润:文教、工美、体育和娱乐用品制造业:累计值</x:v>
      </x:c>
      <x:c r="F266" s="28" t="str">
        <x:v>Operating Profit: Culture, Education, Arts and Crafts, Sports and Entertainment Products Manufacturing Industry: Cumulative Value</x:v>
      </x:c>
      <x:c r="G266" s="27" t="str">
        <x:v>月</x:v>
      </x:c>
      <x:c r="H266" s="27" t="str">
        <x:v>亿元</x:v>
      </x:c>
      <x:c r="I266" s="27" t="str">
        <x:v>累计值</x:v>
      </x:c>
      <x:c r="J266" s="27" t="str">
        <x:v>全国</x:v>
      </x:c>
      <x:c r="K266" s="27" t="str">
        <x:v>中国</x:v>
      </x:c>
      <x:c r="L266" s="28" t="str">
        <x:v>国家统计局</x:v>
      </x:c>
      <x:c r="M266" s="28" t="str">
        <x:v>getEcoDataChina</x:v>
      </x:c>
      <x:c r="N266" s="27" t="str">
        <x:v>2017-02-28</x:v>
      </x:c>
      <x:c r="O266" s="27" t="str">
        <x:v>2026-06-30</x:v>
      </x:c>
      <x:c r="P266" s="27" t="str">
        <x:v>持续更新</x:v>
      </x:c>
      <x:c r="Q266" s="27" t="str"/>
      <x:c r="R266" s="28" t="str"/>
    </x:row>
    <x:row r="267" ht="48" customHeight="1">
      <x:c r="A267" s="27" t="str">
        <x:v>801140</x:v>
      </x:c>
      <x:c r="B267" s="27" t="str">
        <x:v>轻工制造</x:v>
      </x:c>
      <x:c r="C267" s="27" t="n">
        <x:v>26</x:v>
      </x:c>
      <x:c r="D267" s="27" t="str">
        <x:v>1020010183</x:v>
      </x:c>
      <x:c r="E267" s="28" t="str">
        <x:v>工业企业:营业利润:木材加工和木、竹、藤、棕、草制品业:累计值</x:v>
      </x:c>
      <x:c r="F267" s="28" t="str">
        <x:v>Operating Profit: Wood Processing and Wood, Bamboo, Rattan, Palm and Straw Manufacturing Industry: Cumulative Value</x:v>
      </x:c>
      <x:c r="G267" s="27" t="str">
        <x:v>月</x:v>
      </x:c>
      <x:c r="H267" s="27" t="str">
        <x:v>亿元</x:v>
      </x:c>
      <x:c r="I267" s="27" t="str">
        <x:v>累计值</x:v>
      </x:c>
      <x:c r="J267" s="27" t="str">
        <x:v>全国</x:v>
      </x:c>
      <x:c r="K267" s="27" t="str">
        <x:v>中国</x:v>
      </x:c>
      <x:c r="L267" s="28" t="str">
        <x:v>国家统计局</x:v>
      </x:c>
      <x:c r="M267" s="28" t="str">
        <x:v>getEcoDataChina</x:v>
      </x:c>
      <x:c r="N267" s="27" t="str">
        <x:v>2017-02-28</x:v>
      </x:c>
      <x:c r="O267" s="27" t="str">
        <x:v>2026-06-30</x:v>
      </x:c>
      <x:c r="P267" s="27" t="str">
        <x:v>持续更新</x:v>
      </x:c>
      <x:c r="Q267" s="27" t="str"/>
      <x:c r="R267" s="28" t="str"/>
    </x:row>
    <x:row r="268" ht="48" customHeight="1">
      <x:c r="A268" s="27" t="str">
        <x:v>801140</x:v>
      </x:c>
      <x:c r="B268" s="27" t="str">
        <x:v>轻工制造</x:v>
      </x:c>
      <x:c r="C268" s="27" t="n">
        <x:v>27</x:v>
      </x:c>
      <x:c r="D268" s="27" t="str">
        <x:v>1020010185</x:v>
      </x:c>
      <x:c r="E268" s="28" t="str">
        <x:v>工业企业:营业利润:造纸和纸制品业:累计值</x:v>
      </x:c>
      <x:c r="F268" s="28" t="str">
        <x:v>Operating Profit: Paper Making and Paper Products: Cumulative Value</x:v>
      </x:c>
      <x:c r="G268" s="27" t="str">
        <x:v>月</x:v>
      </x:c>
      <x:c r="H268" s="27" t="str">
        <x:v>亿元</x:v>
      </x:c>
      <x:c r="I268" s="27" t="str">
        <x:v>累计值</x:v>
      </x:c>
      <x:c r="J268" s="27" t="str">
        <x:v>全国</x:v>
      </x:c>
      <x:c r="K268" s="27" t="str">
        <x:v>中国</x:v>
      </x:c>
      <x:c r="L268" s="28" t="str">
        <x:v>国家统计局</x:v>
      </x:c>
      <x:c r="M268" s="28" t="str">
        <x:v>getEcoDataChina</x:v>
      </x:c>
      <x:c r="N268" s="27" t="str">
        <x:v>2017-02-28</x:v>
      </x:c>
      <x:c r="O268" s="27" t="str">
        <x:v>2026-06-30</x:v>
      </x:c>
      <x:c r="P268" s="27" t="str">
        <x:v>持续更新</x:v>
      </x:c>
      <x:c r="Q268" s="27" t="str"/>
      <x:c r="R268" s="28" t="str"/>
    </x:row>
    <x:row r="269" ht="48" customHeight="1">
      <x:c r="A269" s="27" t="str">
        <x:v>801140</x:v>
      </x:c>
      <x:c r="B269" s="27" t="str">
        <x:v>轻工制造</x:v>
      </x:c>
      <x:c r="C269" s="27" t="n">
        <x:v>28</x:v>
      </x:c>
      <x:c r="D269" s="27" t="str">
        <x:v>1020000931</x:v>
      </x:c>
      <x:c r="E269" s="28" t="str">
        <x:v>成本费用利润率:家具制造业</x:v>
      </x:c>
      <x:c r="F269" s="28" t="str">
        <x:v>Profit-To-Cost Ratio: Furniture Manufacturing</x:v>
      </x:c>
      <x:c r="G269" s="27" t="str">
        <x:v>月</x:v>
      </x:c>
      <x:c r="H269" s="27" t="str">
        <x:v>%</x:v>
      </x:c>
      <x:c r="I269" s="27" t="str">
        <x:v>当期值</x:v>
      </x:c>
      <x:c r="J269" s="27" t="str">
        <x:v>全国</x:v>
      </x:c>
      <x:c r="K269" s="27" t="str">
        <x:v>中国</x:v>
      </x:c>
      <x:c r="L269" s="28" t="str">
        <x:v>国家统计局</x:v>
      </x:c>
      <x:c r="M269" s="28" t="str">
        <x:v>getEcoDataChina</x:v>
      </x:c>
      <x:c r="N269" s="27" t="str">
        <x:v>2003-02-28</x:v>
      </x:c>
      <x:c r="O269" s="27" t="str">
        <x:v>2026-06-30</x:v>
      </x:c>
      <x:c r="P269" s="27" t="str">
        <x:v>持续更新</x:v>
      </x:c>
      <x:c r="Q269" s="27" t="str"/>
      <x:c r="R269" s="28" t="str"/>
    </x:row>
    <x:row r="270" ht="48" customHeight="1">
      <x:c r="A270" s="27" t="str">
        <x:v>801140</x:v>
      </x:c>
      <x:c r="B270" s="27" t="str">
        <x:v>轻工制造</x:v>
      </x:c>
      <x:c r="C270" s="27" t="n">
        <x:v>29</x:v>
      </x:c>
      <x:c r="D270" s="27" t="str">
        <x:v>1020000934</x:v>
      </x:c>
      <x:c r="E270" s="28" t="str">
        <x:v>成本费用利润率:文教、工美、体育和娱乐用品制造业</x:v>
      </x:c>
      <x:c r="F270" s="28" t="str">
        <x:v>Profit-To-Cost Ratio: Culture, Education And Sporting Goods Manufacturing Industry</x:v>
      </x:c>
      <x:c r="G270" s="27" t="str">
        <x:v>月</x:v>
      </x:c>
      <x:c r="H270" s="27" t="str">
        <x:v>%</x:v>
      </x:c>
      <x:c r="I270" s="27" t="str">
        <x:v>当期值</x:v>
      </x:c>
      <x:c r="J270" s="27" t="str">
        <x:v>全国</x:v>
      </x:c>
      <x:c r="K270" s="27" t="str">
        <x:v>中国</x:v>
      </x:c>
      <x:c r="L270" s="28" t="str">
        <x:v>国家统计局</x:v>
      </x:c>
      <x:c r="M270" s="28" t="str">
        <x:v>getEcoDataChina</x:v>
      </x:c>
      <x:c r="N270" s="27" t="str">
        <x:v>2003-02-28</x:v>
      </x:c>
      <x:c r="O270" s="27" t="str">
        <x:v>2026-06-30</x:v>
      </x:c>
      <x:c r="P270" s="27" t="str">
        <x:v>持续更新</x:v>
      </x:c>
      <x:c r="Q270" s="27" t="str"/>
      <x:c r="R270" s="28" t="str"/>
    </x:row>
    <x:row r="271" ht="48" customHeight="1">
      <x:c r="A271" s="27" t="str">
        <x:v>801140</x:v>
      </x:c>
      <x:c r="B271" s="27" t="str">
        <x:v>轻工制造</x:v>
      </x:c>
      <x:c r="C271" s="27" t="n">
        <x:v>30</x:v>
      </x:c>
      <x:c r="D271" s="27" t="str">
        <x:v>1020000930</x:v>
      </x:c>
      <x:c r="E271" s="28" t="str">
        <x:v>成本费用利润率:木材加工和木、竹、藤、棕、草制品业</x:v>
      </x:c>
      <x:c r="F271" s="28" t="str">
        <x:v>Profit-To-Cost Ratio: Wood Processing And Wood, Bamboo, Rattan, Palm, Straw Products Industry</x:v>
      </x:c>
      <x:c r="G271" s="27" t="str">
        <x:v>月</x:v>
      </x:c>
      <x:c r="H271" s="27" t="str">
        <x:v>%</x:v>
      </x:c>
      <x:c r="I271" s="27" t="str">
        <x:v>当期值</x:v>
      </x:c>
      <x:c r="J271" s="27" t="str">
        <x:v>全国</x:v>
      </x:c>
      <x:c r="K271" s="27" t="str">
        <x:v>中国</x:v>
      </x:c>
      <x:c r="L271" s="28" t="str">
        <x:v>国家统计局</x:v>
      </x:c>
      <x:c r="M271" s="28" t="str">
        <x:v>getEcoDataChina</x:v>
      </x:c>
      <x:c r="N271" s="27" t="str">
        <x:v>2003-02-28</x:v>
      </x:c>
      <x:c r="O271" s="27" t="str">
        <x:v>2026-06-30</x:v>
      </x:c>
      <x:c r="P271" s="27" t="str">
        <x:v>持续更新</x:v>
      </x:c>
      <x:c r="Q271" s="27" t="str"/>
      <x:c r="R271" s="28" t="str"/>
    </x:row>
    <x:row r="272" ht="48" customHeight="1">
      <x:c r="A272" s="27" t="str">
        <x:v>801150</x:v>
      </x:c>
      <x:c r="B272" s="27" t="str">
        <x:v>医药生物</x:v>
      </x:c>
      <x:c r="C272" s="27" t="n">
        <x:v>1</x:v>
      </x:c>
      <x:c r="D272" s="27" t="str">
        <x:v>2140001345</x:v>
      </x:c>
      <x:c r="E272" s="28" t="str">
        <x:v>中药材价格指数:进口:定基</x:v>
      </x:c>
      <x:c r="F272" s="28" t="str">
        <x:v>Traditional Chinese Medicine Price Index: Imports: Fixed Base</x:v>
      </x:c>
      <x:c r="G272" s="27" t="str">
        <x:v>周</x:v>
      </x:c>
      <x:c r="H272" s="27" t="str">
        <x:v>2012年8月=1000</x:v>
      </x:c>
      <x:c r="I272" s="27" t="str">
        <x:v>当期值</x:v>
      </x:c>
      <x:c r="J272" s="27" t="str">
        <x:v>全国</x:v>
      </x:c>
      <x:c r="K272" s="27" t="str">
        <x:v>中国</x:v>
      </x:c>
      <x:c r="L272" s="28" t="str">
        <x:v>康美中国中药材指数网</x:v>
      </x:c>
      <x:c r="M272" s="28" t="str">
        <x:v>getEcoDataIndBiologicalmedicine</x:v>
      </x:c>
      <x:c r="N272" s="27" t="str">
        <x:v>2012-09-01</x:v>
      </x:c>
      <x:c r="O272" s="27" t="str">
        <x:v>2026-08-02</x:v>
      </x:c>
      <x:c r="P272" s="27" t="str">
        <x:v>持续更新</x:v>
      </x:c>
      <x:c r="Q272" s="27" t="str"/>
      <x:c r="R272" s="28" t="str"/>
    </x:row>
    <x:row r="273" ht="48" customHeight="1">
      <x:c r="A273" s="27" t="str">
        <x:v>801150</x:v>
      </x:c>
      <x:c r="B273" s="27" t="str">
        <x:v>医药生物</x:v>
      </x:c>
      <x:c r="C273" s="27" t="n">
        <x:v>2</x:v>
      </x:c>
      <x:c r="D273" s="27" t="str">
        <x:v>2140000935</x:v>
      </x:c>
      <x:c r="E273" s="28" t="str">
        <x:v>中药材价格指数:总指数:定基</x:v>
      </x:c>
      <x:c r="F273" s="28" t="str">
        <x:v>Traditional Chinese Medicine Price Index: General: Fixed Base</x:v>
      </x:c>
      <x:c r="G273" s="27" t="str">
        <x:v>日</x:v>
      </x:c>
      <x:c r="H273" s="27" t="str">
        <x:v>2012年8月=1000</x:v>
      </x:c>
      <x:c r="I273" s="27" t="str">
        <x:v>当期值</x:v>
      </x:c>
      <x:c r="J273" s="27" t="str">
        <x:v>全国</x:v>
      </x:c>
      <x:c r="K273" s="27" t="str">
        <x:v>中国</x:v>
      </x:c>
      <x:c r="L273" s="28" t="str">
        <x:v>康美中国中药材指数网</x:v>
      </x:c>
      <x:c r="M273" s="28" t="str">
        <x:v>getEcoDataIndBiologicalmedicine</x:v>
      </x:c>
      <x:c r="N273" s="27" t="str">
        <x:v>2013-04-16</x:v>
      </x:c>
      <x:c r="O273" s="27" t="str">
        <x:v>2026-08-08</x:v>
      </x:c>
      <x:c r="P273" s="27" t="str">
        <x:v>持续更新</x:v>
      </x:c>
      <x:c r="Q273" s="27" t="str"/>
      <x:c r="R273" s="28" t="str"/>
    </x:row>
    <x:row r="274" ht="48" customHeight="1">
      <x:c r="A274" s="27" t="str">
        <x:v>801150</x:v>
      </x:c>
      <x:c r="B274" s="27" t="str">
        <x:v>医药生物</x:v>
      </x:c>
      <x:c r="C274" s="27" t="n">
        <x:v>3</x:v>
      </x:c>
      <x:c r="D274" s="27" t="str">
        <x:v>2140934365</x:v>
      </x:c>
      <x:c r="E274" s="28" t="str">
        <x:v>价格指数:中药材:MA15日指数:定基</x:v>
      </x:c>
      <x:c r="F274" s="28" t="str">
        <x:v>Price Index: Chinese Herbal Medicines: MA15 Daily Price Index: Fixed Base</x:v>
      </x:c>
      <x:c r="G274" s="27" t="str">
        <x:v>日</x:v>
      </x:c>
      <x:c r="H274" s="27" t="str">
        <x:v>2012年8月=1000</x:v>
      </x:c>
      <x:c r="I274" s="27" t="str">
        <x:v>当期值</x:v>
      </x:c>
      <x:c r="J274" s="27" t="str">
        <x:v>全国</x:v>
      </x:c>
      <x:c r="K274" s="27" t="str">
        <x:v>中国</x:v>
      </x:c>
      <x:c r="L274" s="28" t="str">
        <x:v>康美中国中药材指数网</x:v>
      </x:c>
      <x:c r="M274" s="28" t="str">
        <x:v>getEcoDataIndBiologicalmedicine</x:v>
      </x:c>
      <x:c r="N274" s="27" t="str">
        <x:v>2013-05-04</x:v>
      </x:c>
      <x:c r="O274" s="27" t="str">
        <x:v>2026-08-09</x:v>
      </x:c>
      <x:c r="P274" s="27" t="str">
        <x:v>持续更新</x:v>
      </x:c>
      <x:c r="Q274" s="27" t="str"/>
      <x:c r="R274" s="28" t="str"/>
    </x:row>
    <x:row r="275" ht="48" customHeight="1">
      <x:c r="A275" s="27" t="str">
        <x:v>801150</x:v>
      </x:c>
      <x:c r="B275" s="27" t="str">
        <x:v>医药生物</x:v>
      </x:c>
      <x:c r="C275" s="27" t="n">
        <x:v>4</x:v>
      </x:c>
      <x:c r="D275" s="27" t="str">
        <x:v>2140934366</x:v>
      </x:c>
      <x:c r="E275" s="28" t="str">
        <x:v>价格指数:中药材:MA30日指数:定基</x:v>
      </x:c>
      <x:c r="F275" s="28" t="str">
        <x:v>Price Index: Chinese Herbal Medicines: MA30 Daily Price Index: Fixed Base</x:v>
      </x:c>
      <x:c r="G275" s="27" t="str">
        <x:v>日</x:v>
      </x:c>
      <x:c r="H275" s="27" t="str">
        <x:v>2012年8月=1000</x:v>
      </x:c>
      <x:c r="I275" s="27" t="str">
        <x:v>当期值</x:v>
      </x:c>
      <x:c r="J275" s="27" t="str">
        <x:v>全国</x:v>
      </x:c>
      <x:c r="K275" s="27" t="str">
        <x:v>中国</x:v>
      </x:c>
      <x:c r="L275" s="28" t="str">
        <x:v>康美中国中药材指数网</x:v>
      </x:c>
      <x:c r="M275" s="28" t="str">
        <x:v>getEcoDataIndBiologicalmedicine</x:v>
      </x:c>
      <x:c r="N275" s="27" t="str">
        <x:v>2013-05-19</x:v>
      </x:c>
      <x:c r="O275" s="27" t="str">
        <x:v>2026-08-09</x:v>
      </x:c>
      <x:c r="P275" s="27" t="str">
        <x:v>持续更新</x:v>
      </x:c>
      <x:c r="Q275" s="27" t="str"/>
      <x:c r="R275" s="28" t="str"/>
    </x:row>
    <x:row r="276" ht="48" customHeight="1">
      <x:c r="A276" s="27" t="str">
        <x:v>801150</x:v>
      </x:c>
      <x:c r="B276" s="27" t="str">
        <x:v>医药生物</x:v>
      </x:c>
      <x:c r="C276" s="27" t="n">
        <x:v>5</x:v>
      </x:c>
      <x:c r="D276" s="27" t="str">
        <x:v>2140934364</x:v>
      </x:c>
      <x:c r="E276" s="28" t="str">
        <x:v>价格指数:中药材:MA7日指数:定基</x:v>
      </x:c>
      <x:c r="F276" s="28" t="str">
        <x:v>Price Index: Chinese Herbal Medicines: MA7 Daily Price Index: Fixed Base</x:v>
      </x:c>
      <x:c r="G276" s="27" t="str">
        <x:v>日</x:v>
      </x:c>
      <x:c r="H276" s="27" t="str">
        <x:v>2012年8月=1000</x:v>
      </x:c>
      <x:c r="I276" s="27" t="str">
        <x:v>当期值</x:v>
      </x:c>
      <x:c r="J276" s="27" t="str">
        <x:v>全国</x:v>
      </x:c>
      <x:c r="K276" s="27" t="str">
        <x:v>中国</x:v>
      </x:c>
      <x:c r="L276" s="28" t="str">
        <x:v>康美中国中药材指数网</x:v>
      </x:c>
      <x:c r="M276" s="28" t="str">
        <x:v>getEcoDataIndBiologicalmedicine</x:v>
      </x:c>
      <x:c r="N276" s="27" t="str">
        <x:v>2013-04-23</x:v>
      </x:c>
      <x:c r="O276" s="27" t="str">
        <x:v>2026-08-09</x:v>
      </x:c>
      <x:c r="P276" s="27" t="str">
        <x:v>持续更新</x:v>
      </x:c>
      <x:c r="Q276" s="27" t="str"/>
      <x:c r="R276" s="28" t="str"/>
    </x:row>
    <x:row r="277" ht="48" customHeight="1">
      <x:c r="A277" s="27" t="str">
        <x:v>801150</x:v>
      </x:c>
      <x:c r="B277" s="27" t="str">
        <x:v>医药生物</x:v>
      </x:c>
      <x:c r="C277" s="27" t="n">
        <x:v>6</x:v>
      </x:c>
      <x:c r="D277" s="27" t="str">
        <x:v>2140006258</x:v>
      </x:c>
      <x:c r="E277" s="28" t="str">
        <x:v>维生素:VA:50万IU/g:25kg:进口:最低价</x:v>
      </x:c>
      <x:c r="F277" s="28" t="str">
        <x:v>Vitamine: VA: 50W IU/g: 25kg: Import: Lowest Price</x:v>
      </x:c>
      <x:c r="G277" s="27" t="str">
        <x:v>日</x:v>
      </x:c>
      <x:c r="H277" s="27" t="str">
        <x:v>元/千克</x:v>
      </x:c>
      <x:c r="I277" s="27" t="str">
        <x:v>最低</x:v>
      </x:c>
      <x:c r="J277" s="27" t="str">
        <x:v>全国</x:v>
      </x:c>
      <x:c r="K277" s="27" t="str">
        <x:v>中国</x:v>
      </x:c>
      <x:c r="L277" s="28" t="str">
        <x:v>博亚和讯</x:v>
      </x:c>
      <x:c r="M277" s="28" t="str">
        <x:v>getEcoDataIndBiologicalmedicine</x:v>
      </x:c>
      <x:c r="N277" s="27" t="str">
        <x:v>2008-03-10</x:v>
      </x:c>
      <x:c r="O277" s="27" t="str">
        <x:v>2026-08-07</x:v>
      </x:c>
      <x:c r="P277" s="27" t="str">
        <x:v>持续更新</x:v>
      </x:c>
      <x:c r="Q277" s="27" t="str"/>
      <x:c r="R277" s="28" t="str"/>
    </x:row>
    <x:row r="278" ht="48" customHeight="1">
      <x:c r="A278" s="27" t="str">
        <x:v>801150</x:v>
      </x:c>
      <x:c r="B278" s="27" t="str">
        <x:v>医药生物</x:v>
      </x:c>
      <x:c r="C278" s="27" t="n">
        <x:v>7</x:v>
      </x:c>
      <x:c r="D278" s="27" t="str">
        <x:v>2140006264</x:v>
      </x:c>
      <x:c r="E278" s="28" t="str">
        <x:v>维生素:VE:50%:25kg:进口:最低价</x:v>
      </x:c>
      <x:c r="F278" s="28" t="str">
        <x:v>Vitamine: VE: 50%: 25kg: Import: Lowest Price</x:v>
      </x:c>
      <x:c r="G278" s="27" t="str">
        <x:v>日</x:v>
      </x:c>
      <x:c r="H278" s="27" t="str">
        <x:v>元/千克</x:v>
      </x:c>
      <x:c r="I278" s="27" t="str">
        <x:v>最低</x:v>
      </x:c>
      <x:c r="J278" s="27" t="str">
        <x:v>全国</x:v>
      </x:c>
      <x:c r="K278" s="27" t="str">
        <x:v>中国</x:v>
      </x:c>
      <x:c r="L278" s="28" t="str">
        <x:v>博亚和讯</x:v>
      </x:c>
      <x:c r="M278" s="28" t="str">
        <x:v>getEcoDataIndBiologicalmedicine</x:v>
      </x:c>
      <x:c r="N278" s="27" t="str">
        <x:v>2008-03-10</x:v>
      </x:c>
      <x:c r="O278" s="27" t="str">
        <x:v>2026-08-07</x:v>
      </x:c>
      <x:c r="P278" s="27" t="str">
        <x:v>持续更新</x:v>
      </x:c>
      <x:c r="Q278" s="27" t="str"/>
      <x:c r="R278" s="28" t="str"/>
    </x:row>
    <x:row r="279" ht="48" customHeight="1">
      <x:c r="A279" s="27" t="str">
        <x:v>801150</x:v>
      </x:c>
      <x:c r="B279" s="27" t="str">
        <x:v>医药生物</x:v>
      </x:c>
      <x:c r="C279" s="27" t="n">
        <x:v>8</x:v>
      </x:c>
      <x:c r="D279" s="27" t="str">
        <x:v>2140006278</x:v>
      </x:c>
      <x:c r="E279" s="28" t="str">
        <x:v>维生素:烟酰胺:99%:25kg:进口:最低价</x:v>
      </x:c>
      <x:c r="F279" s="28" t="str">
        <x:v>Vitamine: Nicotinamide: 99%: 25kg: Import: Lowest Price</x:v>
      </x:c>
      <x:c r="G279" s="27" t="str">
        <x:v>日</x:v>
      </x:c>
      <x:c r="H279" s="27" t="str">
        <x:v>元/千克</x:v>
      </x:c>
      <x:c r="I279" s="27" t="str">
        <x:v>最低</x:v>
      </x:c>
      <x:c r="J279" s="27" t="str">
        <x:v>全国</x:v>
      </x:c>
      <x:c r="K279" s="27" t="str">
        <x:v>中国</x:v>
      </x:c>
      <x:c r="L279" s="28" t="str">
        <x:v>博亚和讯</x:v>
      </x:c>
      <x:c r="M279" s="28" t="str">
        <x:v>getEcoDataIndBiologicalmedicine</x:v>
      </x:c>
      <x:c r="N279" s="27" t="str">
        <x:v>2010-08-04</x:v>
      </x:c>
      <x:c r="O279" s="27" t="str">
        <x:v>2026-08-07</x:v>
      </x:c>
      <x:c r="P279" s="27" t="str">
        <x:v>持续更新</x:v>
      </x:c>
      <x:c r="Q279" s="27" t="str"/>
      <x:c r="R279" s="28" t="str"/>
    </x:row>
    <x:row r="280" ht="48" customHeight="1">
      <x:c r="A280" s="27" t="str">
        <x:v>801150</x:v>
      </x:c>
      <x:c r="B280" s="27" t="str">
        <x:v>医药生物</x:v>
      </x:c>
      <x:c r="C280" s="27" t="n">
        <x:v>9</x:v>
      </x:c>
      <x:c r="D280" s="27" t="str">
        <x:v>2140001259</x:v>
      </x:c>
      <x:c r="E280" s="28" t="str">
        <x:v>中药材价格指数:进口:环比</x:v>
      </x:c>
      <x:c r="F280" s="28" t="str">
        <x:v>Traditional Chinese Medicine Price Index: Imports: DoD</x:v>
      </x:c>
      <x:c r="G280" s="27" t="str">
        <x:v>日</x:v>
      </x:c>
      <x:c r="H280" s="27" t="str">
        <x:v>%</x:v>
      </x:c>
      <x:c r="I280" s="27" t="str">
        <x:v>当期环比</x:v>
      </x:c>
      <x:c r="J280" s="27" t="str"/>
      <x:c r="K280" s="27" t="str">
        <x:v>中国</x:v>
      </x:c>
      <x:c r="L280" s="28" t="str">
        <x:v>康美中国中药材指数网</x:v>
      </x:c>
      <x:c r="M280" s="28" t="str">
        <x:v>getEcoDataIndBiologicalmedicine</x:v>
      </x:c>
      <x:c r="N280" s="27" t="str">
        <x:v>2013-04-17</x:v>
      </x:c>
      <x:c r="O280" s="27" t="str">
        <x:v>2026-08-08</x:v>
      </x:c>
      <x:c r="P280" s="27" t="str">
        <x:v>持续更新</x:v>
      </x:c>
      <x:c r="Q280" s="27" t="str"/>
      <x:c r="R280" s="28" t="str"/>
    </x:row>
    <x:row r="281" ht="48" customHeight="1">
      <x:c r="A281" s="27" t="str">
        <x:v>801150</x:v>
      </x:c>
      <x:c r="B281" s="27" t="str">
        <x:v>医药生物</x:v>
      </x:c>
      <x:c r="C281" s="27" t="n">
        <x:v>10</x:v>
      </x:c>
      <x:c r="D281" s="27" t="str">
        <x:v>2140100137</x:v>
      </x:c>
      <x:c r="E281" s="28" t="str">
        <x:v>产量:化学药品原药:当月值</x:v>
      </x:c>
      <x:c r="F281" s="28" t="str">
        <x:v>Output: Chemical Raw Medicine</x:v>
      </x:c>
      <x:c r="G281" s="27" t="str">
        <x:v>月</x:v>
      </x:c>
      <x:c r="H281" s="27" t="str">
        <x:v>万吨</x:v>
      </x:c>
      <x:c r="I281" s="27" t="str">
        <x:v>当期值</x:v>
      </x:c>
      <x:c r="J281" s="27" t="str">
        <x:v>全国</x:v>
      </x:c>
      <x:c r="K281" s="27" t="str">
        <x:v>中国</x:v>
      </x:c>
      <x:c r="L281" s="28" t="str">
        <x:v>国家统计局</x:v>
      </x:c>
      <x:c r="M281" s="28" t="str">
        <x:v>getEcoDataIndBiologicalmedicine</x:v>
      </x:c>
      <x:c r="N281" s="27" t="str">
        <x:v>1997-01-31</x:v>
      </x:c>
      <x:c r="O281" s="27" t="str">
        <x:v>2026-06-30</x:v>
      </x:c>
      <x:c r="P281" s="27" t="str">
        <x:v>持续更新</x:v>
      </x:c>
      <x:c r="Q281" s="27" t="str"/>
      <x:c r="R281" s="28" t="str"/>
    </x:row>
    <x:row r="282" ht="48" customHeight="1">
      <x:c r="A282" s="27" t="str">
        <x:v>801150</x:v>
      </x:c>
      <x:c r="B282" s="27" t="str">
        <x:v>医药生物</x:v>
      </x:c>
      <x:c r="C282" s="27" t="n">
        <x:v>11</x:v>
      </x:c>
      <x:c r="D282" s="27" t="str">
        <x:v>1020000192</x:v>
      </x:c>
      <x:c r="E282" s="28" t="str">
        <x:v>出口交货值:医药制造业:当月同比</x:v>
      </x:c>
      <x:c r="F282" s="28" t="str">
        <x:v>Export Delivery Value: Pharmaceutical Manufacturing: Current YoY (Month)</x:v>
      </x:c>
      <x:c r="G282" s="27" t="str">
        <x:v>月</x:v>
      </x:c>
      <x:c r="H282" s="27" t="str">
        <x:v>%</x:v>
      </x:c>
      <x:c r="I282" s="27" t="str">
        <x:v>当期同比</x:v>
      </x:c>
      <x:c r="J282" s="27" t="str">
        <x:v>全国</x:v>
      </x:c>
      <x:c r="K282" s="27" t="str">
        <x:v>中国</x:v>
      </x:c>
      <x:c r="L282" s="28" t="str">
        <x:v>国家统计局</x:v>
      </x:c>
      <x:c r="M282" s="28" t="str">
        <x:v>getEcoDataChina</x:v>
      </x:c>
      <x:c r="N282" s="27" t="str">
        <x:v>2007-02-28</x:v>
      </x:c>
      <x:c r="O282" s="27" t="str">
        <x:v>2026-06-30</x:v>
      </x:c>
      <x:c r="P282" s="27" t="str">
        <x:v>持续更新</x:v>
      </x:c>
      <x:c r="Q282" s="27" t="str"/>
      <x:c r="R282" s="28" t="str"/>
    </x:row>
    <x:row r="283" ht="48" customHeight="1">
      <x:c r="A283" s="27" t="str">
        <x:v>801150</x:v>
      </x:c>
      <x:c r="B283" s="27" t="str">
        <x:v>医药生物</x:v>
      </x:c>
      <x:c r="C283" s="27" t="n">
        <x:v>12</x:v>
      </x:c>
      <x:c r="D283" s="27" t="str">
        <x:v>1020000151</x:v>
      </x:c>
      <x:c r="E283" s="28" t="str">
        <x:v>出口交货值:医药制造业:当期值</x:v>
      </x:c>
      <x:c r="F283" s="28" t="str">
        <x:v>Export Delivery Value: Pharmaceutical Manufacturing: Current Value</x:v>
      </x:c>
      <x:c r="G283" s="27" t="str">
        <x:v>月</x:v>
      </x:c>
      <x:c r="H283" s="27" t="str">
        <x:v>亿元</x:v>
      </x:c>
      <x:c r="I283" s="27" t="str">
        <x:v>当期值</x:v>
      </x:c>
      <x:c r="J283" s="27" t="str">
        <x:v>全国</x:v>
      </x:c>
      <x:c r="K283" s="27" t="str">
        <x:v>中国</x:v>
      </x:c>
      <x:c r="L283" s="28" t="str">
        <x:v>国家统计局</x:v>
      </x:c>
      <x:c r="M283" s="28" t="str">
        <x:v>getEcoDataChina</x:v>
      </x:c>
      <x:c r="N283" s="27" t="str">
        <x:v>2007-02-28</x:v>
      </x:c>
      <x:c r="O283" s="27" t="str">
        <x:v>2026-06-30</x:v>
      </x:c>
      <x:c r="P283" s="27" t="str">
        <x:v>持续更新</x:v>
      </x:c>
      <x:c r="Q283" s="27" t="str"/>
      <x:c r="R283" s="28" t="str"/>
    </x:row>
    <x:row r="284" ht="48" customHeight="1">
      <x:c r="A284" s="27" t="str">
        <x:v>801150</x:v>
      </x:c>
      <x:c r="B284" s="27" t="str">
        <x:v>医药生物</x:v>
      </x:c>
      <x:c r="C284" s="27" t="n">
        <x:v>13</x:v>
      </x:c>
      <x:c r="D284" s="27" t="str">
        <x:v>2140906286</x:v>
      </x:c>
      <x:c r="E284" s="28" t="str">
        <x:v>出口金额(美元):两种或两种以上成分混合而成的治病或防病药品(3003):当月值</x:v>
      </x:c>
      <x:c r="F284" s="28" t="str">
        <x:v>Export Value (USD): Medicine for Treating or Preventing Diseases Made by Mixing Two or More Ingredients(3003): Current Month Value</x:v>
      </x:c>
      <x:c r="G284" s="27" t="str">
        <x:v>月</x:v>
      </x:c>
      <x:c r="H284" s="27" t="str">
        <x:v>美元</x:v>
      </x:c>
      <x:c r="I284" s="27" t="str">
        <x:v>当期值</x:v>
      </x:c>
      <x:c r="J284" s="27" t="str">
        <x:v>中国</x:v>
      </x:c>
      <x:c r="K284" s="27" t="str">
        <x:v>中国</x:v>
      </x:c>
      <x:c r="L284" s="28" t="str">
        <x:v>海关总署</x:v>
      </x:c>
      <x:c r="M284" s="28" t="str">
        <x:v>getEcoDataIndBiologicalmedicine</x:v>
      </x:c>
      <x:c r="N284" s="27" t="str">
        <x:v>2015-01-31</x:v>
      </x:c>
      <x:c r="O284" s="27" t="str">
        <x:v>2026-06-30</x:v>
      </x:c>
      <x:c r="P284" s="27" t="str">
        <x:v>持续更新</x:v>
      </x:c>
      <x:c r="Q284" s="27" t="str"/>
      <x:c r="R284" s="28" t="str"/>
    </x:row>
    <x:row r="285" ht="48" customHeight="1">
      <x:c r="A285" s="27" t="str">
        <x:v>801150</x:v>
      </x:c>
      <x:c r="B285" s="27" t="str">
        <x:v>医药生物</x:v>
      </x:c>
      <x:c r="C285" s="27" t="n">
        <x:v>14</x:v>
      </x:c>
      <x:c r="D285" s="27" t="str">
        <x:v>2140906328</x:v>
      </x:c>
      <x:c r="E285" s="28" t="str">
        <x:v>出口金额(美元):医药用品(3006):当月值</x:v>
      </x:c>
      <x:c r="F285" s="28" t="str">
        <x:v>Export Value (USD): Medical Supplies(3006): Current Month Value</x:v>
      </x:c>
      <x:c r="G285" s="27" t="str">
        <x:v>月</x:v>
      </x:c>
      <x:c r="H285" s="27" t="str">
        <x:v>美元</x:v>
      </x:c>
      <x:c r="I285" s="27" t="str">
        <x:v>当期值</x:v>
      </x:c>
      <x:c r="J285" s="27" t="str">
        <x:v>中国</x:v>
      </x:c>
      <x:c r="K285" s="27" t="str">
        <x:v>中国</x:v>
      </x:c>
      <x:c r="L285" s="28" t="str">
        <x:v>海关总署</x:v>
      </x:c>
      <x:c r="M285" s="28" t="str">
        <x:v>getEcoDataIndBiologicalmedicine</x:v>
      </x:c>
      <x:c r="N285" s="27" t="str">
        <x:v>2015-01-31</x:v>
      </x:c>
      <x:c r="O285" s="27" t="str">
        <x:v>2026-06-30</x:v>
      </x:c>
      <x:c r="P285" s="27" t="str">
        <x:v>持续更新</x:v>
      </x:c>
      <x:c r="Q285" s="27" t="str"/>
      <x:c r="R285" s="28" t="str"/>
    </x:row>
    <x:row r="286" ht="48" customHeight="1">
      <x:c r="A286" s="27" t="str">
        <x:v>801150</x:v>
      </x:c>
      <x:c r="B286" s="27" t="str">
        <x:v>医药生物</x:v>
      </x:c>
      <x:c r="C286" s="27" t="n">
        <x:v>15</x:v>
      </x:c>
      <x:c r="D286" s="27" t="str">
        <x:v>2140906300</x:v>
      </x:c>
      <x:c r="E286" s="28" t="str">
        <x:v>出口金额(美元):由混合或非混合产品构成的治病或防病用药品(3004):当月值</x:v>
      </x:c>
      <x:c r="F286" s="28" t="str">
        <x:v>Export Value (USD): Medicine for Treating or Preventing Diseases Composed Of Mixed or Non Mixed Products(3004): Current Month Value</x:v>
      </x:c>
      <x:c r="G286" s="27" t="str">
        <x:v>月</x:v>
      </x:c>
      <x:c r="H286" s="27" t="str">
        <x:v>美元</x:v>
      </x:c>
      <x:c r="I286" s="27" t="str">
        <x:v>当期值</x:v>
      </x:c>
      <x:c r="J286" s="27" t="str">
        <x:v>中国</x:v>
      </x:c>
      <x:c r="K286" s="27" t="str">
        <x:v>中国</x:v>
      </x:c>
      <x:c r="L286" s="28" t="str">
        <x:v>海关总署</x:v>
      </x:c>
      <x:c r="M286" s="28" t="str">
        <x:v>getEcoDataIndBiologicalmedicine</x:v>
      </x:c>
      <x:c r="N286" s="27" t="str">
        <x:v>2015-01-31</x:v>
      </x:c>
      <x:c r="O286" s="27" t="str">
        <x:v>2026-06-30</x:v>
      </x:c>
      <x:c r="P286" s="27" t="str">
        <x:v>持续更新</x:v>
      </x:c>
      <x:c r="Q286" s="27" t="str"/>
      <x:c r="R286" s="28" t="str"/>
    </x:row>
    <x:row r="287" ht="48" customHeight="1">
      <x:c r="A287" s="27" t="str">
        <x:v>801150</x:v>
      </x:c>
      <x:c r="B287" s="27" t="str">
        <x:v>医药生物</x:v>
      </x:c>
      <x:c r="C287" s="27" t="n">
        <x:v>16</x:v>
      </x:c>
      <x:c r="D287" s="27" t="str">
        <x:v>2140906142</x:v>
      </x:c>
      <x:c r="E287" s="28" t="str">
        <x:v>出口金额(美元):药品(30):当月值</x:v>
      </x:c>
      <x:c r="F287" s="28" t="str">
        <x:v>Export Value (USD): Drugs(30): Current Month Value</x:v>
      </x:c>
      <x:c r="G287" s="27" t="str">
        <x:v>月</x:v>
      </x:c>
      <x:c r="H287" s="27" t="str">
        <x:v>美元</x:v>
      </x:c>
      <x:c r="I287" s="27" t="str">
        <x:v>当期值</x:v>
      </x:c>
      <x:c r="J287" s="27" t="str">
        <x:v>中国</x:v>
      </x:c>
      <x:c r="K287" s="27" t="str">
        <x:v>中国</x:v>
      </x:c>
      <x:c r="L287" s="28" t="str">
        <x:v>海关总署</x:v>
      </x:c>
      <x:c r="M287" s="28" t="str">
        <x:v>getEcoDataIndBiologicalmedicine</x:v>
      </x:c>
      <x:c r="N287" s="27" t="str">
        <x:v>2015-01-31</x:v>
      </x:c>
      <x:c r="O287" s="27" t="str">
        <x:v>2026-06-30</x:v>
      </x:c>
      <x:c r="P287" s="27" t="str">
        <x:v>持续更新</x:v>
      </x:c>
      <x:c r="Q287" s="27" t="str"/>
      <x:c r="R287" s="28" t="str"/>
    </x:row>
    <x:row r="288" ht="48" customHeight="1">
      <x:c r="A288" s="27" t="str">
        <x:v>801150</x:v>
      </x:c>
      <x:c r="B288" s="27" t="str">
        <x:v>医药生物</x:v>
      </x:c>
      <x:c r="C288" s="27" t="n">
        <x:v>17</x:v>
      </x:c>
      <x:c r="D288" s="27" t="str">
        <x:v>2140908332</x:v>
      </x:c>
      <x:c r="E288" s="28" t="str">
        <x:v>出口金额(美元):龙涎香等;供配制药用的,冻或用其他方法暂时保藏的(0510):当月值</x:v>
      </x:c>
      <x:c r="F288" s="28" t="str">
        <x:v>Export Value (USD): Ambergris, Etc;Used for Preparing Medicine, Frozen or Temporarily Preserved by Other Methods (0510): Current Month Value</x:v>
      </x:c>
      <x:c r="G288" s="27" t="str">
        <x:v>月</x:v>
      </x:c>
      <x:c r="H288" s="27" t="str">
        <x:v>美元</x:v>
      </x:c>
      <x:c r="I288" s="27" t="str">
        <x:v>当期值</x:v>
      </x:c>
      <x:c r="J288" s="27" t="str">
        <x:v>中国</x:v>
      </x:c>
      <x:c r="K288" s="27" t="str">
        <x:v>中国</x:v>
      </x:c>
      <x:c r="L288" s="28" t="str">
        <x:v>海关总署</x:v>
      </x:c>
      <x:c r="M288" s="28" t="str">
        <x:v>getEcoDataIndBiologicalmedicine</x:v>
      </x:c>
      <x:c r="N288" s="27" t="str">
        <x:v>2015-01-31</x:v>
      </x:c>
      <x:c r="O288" s="27" t="str">
        <x:v>2026-06-30</x:v>
      </x:c>
      <x:c r="P288" s="27" t="str">
        <x:v>持续更新</x:v>
      </x:c>
      <x:c r="Q288" s="27" t="str"/>
      <x:c r="R288" s="28" t="str"/>
    </x:row>
    <x:row r="289" ht="48" customHeight="1">
      <x:c r="A289" s="27" t="str">
        <x:v>801150</x:v>
      </x:c>
      <x:c r="B289" s="27" t="str">
        <x:v>医药生物</x:v>
      </x:c>
      <x:c r="C289" s="27" t="n">
        <x:v>18</x:v>
      </x:c>
      <x:c r="D289" s="27" t="str">
        <x:v>1050000349</x:v>
      </x:c>
      <x:c r="E289" s="28" t="str">
        <x:v>固定资产投资完成额:制造业:医药制造业:累计同比</x:v>
      </x:c>
      <x:c r="F289" s="28" t="str">
        <x:v>Fixed Assets Investment Completed: Manufacturing: Pharmaceutical Manufacturing: Cumulative YoY</x:v>
      </x:c>
      <x:c r="G289" s="27" t="str">
        <x:v>月</x:v>
      </x:c>
      <x:c r="H289" s="27" t="str">
        <x:v>%</x:v>
      </x:c>
      <x:c r="I289" s="27" t="str">
        <x:v>累计同比</x:v>
      </x:c>
      <x:c r="J289" s="27" t="str">
        <x:v>全国</x:v>
      </x:c>
      <x:c r="K289" s="27" t="str">
        <x:v>中国</x:v>
      </x:c>
      <x:c r="L289" s="28" t="str">
        <x:v>国家统计局</x:v>
      </x:c>
      <x:c r="M289" s="28" t="str">
        <x:v>getEcoDataChina</x:v>
      </x:c>
      <x:c r="N289" s="27" t="str">
        <x:v>2004-02-29</x:v>
      </x:c>
      <x:c r="O289" s="27" t="str">
        <x:v>2026-06-30</x:v>
      </x:c>
      <x:c r="P289" s="27" t="str">
        <x:v>持续更新</x:v>
      </x:c>
      <x:c r="Q289" s="27" t="str"/>
      <x:c r="R289" s="28" t="str"/>
    </x:row>
    <x:row r="290" ht="48" customHeight="1">
      <x:c r="A290" s="27" t="str">
        <x:v>801150</x:v>
      </x:c>
      <x:c r="B290" s="27" t="str">
        <x:v>医药生物</x:v>
      </x:c>
      <x:c r="C290" s="27" t="n">
        <x:v>19</x:v>
      </x:c>
      <x:c r="D290" s="27" t="str">
        <x:v>1020008253</x:v>
      </x:c>
      <x:c r="E290" s="28" t="str">
        <x:v>工业企业:利润总额:医药制造业:累计值</x:v>
      </x:c>
      <x:c r="F290" s="28" t="str">
        <x:v>Total Profit: Pharmaceutical Manufacturing Industry: Cumulative Value</x:v>
      </x:c>
      <x:c r="G290" s="27" t="str">
        <x:v>月</x:v>
      </x:c>
      <x:c r="H290" s="27" t="str">
        <x:v>亿元</x:v>
      </x:c>
      <x:c r="I290" s="27" t="str">
        <x:v>累计值</x:v>
      </x:c>
      <x:c r="J290" s="27" t="str">
        <x:v>全国</x:v>
      </x:c>
      <x:c r="K290" s="27" t="str">
        <x:v>中国</x:v>
      </x:c>
      <x:c r="L290" s="28" t="str">
        <x:v>国家统计局</x:v>
      </x:c>
      <x:c r="M290" s="28" t="str">
        <x:v>getEcoDataChina</x:v>
      </x:c>
      <x:c r="N290" s="27" t="str">
        <x:v>2000-02-29</x:v>
      </x:c>
      <x:c r="O290" s="27" t="str">
        <x:v>2026-06-30</x:v>
      </x:c>
      <x:c r="P290" s="27" t="str">
        <x:v>持续更新</x:v>
      </x:c>
      <x:c r="Q290" s="27" t="str"/>
      <x:c r="R290" s="28" t="str"/>
    </x:row>
    <x:row r="291" ht="48" customHeight="1">
      <x:c r="A291" s="27" t="str">
        <x:v>801150</x:v>
      </x:c>
      <x:c r="B291" s="27" t="str">
        <x:v>医药生物</x:v>
      </x:c>
      <x:c r="C291" s="27" t="n">
        <x:v>20</x:v>
      </x:c>
      <x:c r="D291" s="27" t="str">
        <x:v>1020010273</x:v>
      </x:c>
      <x:c r="E291" s="28" t="str">
        <x:v>工业企业:投资收益:医药制造业:累计值</x:v>
      </x:c>
      <x:c r="F291" s="28" t="str">
        <x:v>Investment Return: Pharmaceutical Manufacturing Industry: Cumulative Value</x:v>
      </x:c>
      <x:c r="G291" s="27" t="str">
        <x:v>月</x:v>
      </x:c>
      <x:c r="H291" s="27" t="str">
        <x:v>亿元</x:v>
      </x:c>
      <x:c r="I291" s="27" t="str">
        <x:v>累计值</x:v>
      </x:c>
      <x:c r="J291" s="27" t="str">
        <x:v>全国</x:v>
      </x:c>
      <x:c r="K291" s="27" t="str">
        <x:v>中国</x:v>
      </x:c>
      <x:c r="L291" s="28" t="str">
        <x:v>国家统计局</x:v>
      </x:c>
      <x:c r="M291" s="28" t="str">
        <x:v>getEcoDataChina</x:v>
      </x:c>
      <x:c r="N291" s="27" t="str">
        <x:v>2017-02-28</x:v>
      </x:c>
      <x:c r="O291" s="27" t="str">
        <x:v>2026-06-30</x:v>
      </x:c>
      <x:c r="P291" s="27" t="str">
        <x:v>持续更新</x:v>
      </x:c>
      <x:c r="Q291" s="27" t="str"/>
      <x:c r="R291" s="28" t="str"/>
    </x:row>
    <x:row r="292" ht="48" customHeight="1">
      <x:c r="A292" s="27" t="str">
        <x:v>801150</x:v>
      </x:c>
      <x:c r="B292" s="27" t="str">
        <x:v>医药生物</x:v>
      </x:c>
      <x:c r="C292" s="27" t="n">
        <x:v>21</x:v>
      </x:c>
      <x:c r="D292" s="27" t="str">
        <x:v>1020010190</x:v>
      </x:c>
      <x:c r="E292" s="28" t="str">
        <x:v>工业企业:营业利润:医药制造业:累计值</x:v>
      </x:c>
      <x:c r="F292" s="28" t="str">
        <x:v>Operating Profit: Pharmaceutical Manufacturing Industry: Cumulative Value</x:v>
      </x:c>
      <x:c r="G292" s="27" t="str">
        <x:v>月</x:v>
      </x:c>
      <x:c r="H292" s="27" t="str">
        <x:v>亿元</x:v>
      </x:c>
      <x:c r="I292" s="27" t="str">
        <x:v>累计值</x:v>
      </x:c>
      <x:c r="J292" s="27" t="str">
        <x:v>全国</x:v>
      </x:c>
      <x:c r="K292" s="27" t="str">
        <x:v>中国</x:v>
      </x:c>
      <x:c r="L292" s="28" t="str">
        <x:v>国家统计局</x:v>
      </x:c>
      <x:c r="M292" s="28" t="str">
        <x:v>getEcoDataChina</x:v>
      </x:c>
      <x:c r="N292" s="27" t="str">
        <x:v>2017-02-28</x:v>
      </x:c>
      <x:c r="O292" s="27" t="str">
        <x:v>2026-06-30</x:v>
      </x:c>
      <x:c r="P292" s="27" t="str">
        <x:v>持续更新</x:v>
      </x:c>
      <x:c r="Q292" s="27" t="str"/>
      <x:c r="R292" s="28" t="str"/>
    </x:row>
    <x:row r="293" ht="48" customHeight="1">
      <x:c r="A293" s="27" t="str">
        <x:v>801150</x:v>
      </x:c>
      <x:c r="B293" s="27" t="str">
        <x:v>医药生物</x:v>
      </x:c>
      <x:c r="C293" s="27" t="n">
        <x:v>22</x:v>
      </x:c>
      <x:c r="D293" s="27" t="str">
        <x:v>1020007119</x:v>
      </x:c>
      <x:c r="E293" s="28" t="str">
        <x:v>工业企业:营业收入:医药制造业:累计值</x:v>
      </x:c>
      <x:c r="F293" s="28" t="str">
        <x:v>Revenue from Operations: Pharmaceutical Manufacturing: Cumulative Value</x:v>
      </x:c>
      <x:c r="G293" s="27" t="str">
        <x:v>月</x:v>
      </x:c>
      <x:c r="H293" s="27" t="str">
        <x:v>亿元</x:v>
      </x:c>
      <x:c r="I293" s="27" t="str">
        <x:v>累计值</x:v>
      </x:c>
      <x:c r="J293" s="27" t="str">
        <x:v>全国</x:v>
      </x:c>
      <x:c r="K293" s="27" t="str">
        <x:v>中国</x:v>
      </x:c>
      <x:c r="L293" s="28" t="str">
        <x:v>国家统计局</x:v>
      </x:c>
      <x:c r="M293" s="28" t="str">
        <x:v>getEcoDataChina</x:v>
      </x:c>
      <x:c r="N293" s="27" t="str">
        <x:v>2016-02-29</x:v>
      </x:c>
      <x:c r="O293" s="27" t="str">
        <x:v>2026-06-30</x:v>
      </x:c>
      <x:c r="P293" s="27" t="str">
        <x:v>持续更新</x:v>
      </x:c>
      <x:c r="Q293" s="27" t="str"/>
      <x:c r="R293" s="28" t="str"/>
    </x:row>
    <x:row r="294" ht="48" customHeight="1">
      <x:c r="A294" s="27" t="str">
        <x:v>801150</x:v>
      </x:c>
      <x:c r="B294" s="27" t="str">
        <x:v>医药生物</x:v>
      </x:c>
      <x:c r="C294" s="27" t="n">
        <x:v>23</x:v>
      </x:c>
      <x:c r="D294" s="27" t="str">
        <x:v>1020000937</x:v>
      </x:c>
      <x:c r="E294" s="28" t="str">
        <x:v>成本费用利润率:医药制造业</x:v>
      </x:c>
      <x:c r="F294" s="28" t="str">
        <x:v>Profit-To-Cost Ratio: Pharmaceutical Manufacturing</x:v>
      </x:c>
      <x:c r="G294" s="27" t="str">
        <x:v>月</x:v>
      </x:c>
      <x:c r="H294" s="27" t="str">
        <x:v>%</x:v>
      </x:c>
      <x:c r="I294" s="27" t="str">
        <x:v>当期值</x:v>
      </x:c>
      <x:c r="J294" s="27" t="str">
        <x:v>全国</x:v>
      </x:c>
      <x:c r="K294" s="27" t="str">
        <x:v>中国</x:v>
      </x:c>
      <x:c r="L294" s="28" t="str">
        <x:v>国家统计局</x:v>
      </x:c>
      <x:c r="M294" s="28" t="str">
        <x:v>getEcoDataChina</x:v>
      </x:c>
      <x:c r="N294" s="27" t="str">
        <x:v>2003-02-28</x:v>
      </x:c>
      <x:c r="O294" s="27" t="str">
        <x:v>2026-06-30</x:v>
      </x:c>
      <x:c r="P294" s="27" t="str">
        <x:v>持续更新</x:v>
      </x:c>
      <x:c r="Q294" s="27" t="str"/>
      <x:c r="R294" s="28" t="str"/>
    </x:row>
    <x:row r="295" ht="48" customHeight="1">
      <x:c r="A295" s="27" t="str">
        <x:v>801150</x:v>
      </x:c>
      <x:c r="B295" s="27" t="str">
        <x:v>医药生物</x:v>
      </x:c>
      <x:c r="C295" s="27" t="n">
        <x:v>24</x:v>
      </x:c>
      <x:c r="D295" s="27" t="str">
        <x:v>1020000617</x:v>
      </x:c>
      <x:c r="E295" s="28" t="str">
        <x:v>收入增长率:医药制造业</x:v>
      </x:c>
      <x:c r="F295" s="28" t="str">
        <x:v>Income Growth Rate: Pharmaceutical Manufacturing</x:v>
      </x:c>
      <x:c r="G295" s="27" t="str">
        <x:v>月</x:v>
      </x:c>
      <x:c r="H295" s="27" t="str">
        <x:v>%</x:v>
      </x:c>
      <x:c r="I295" s="27" t="str">
        <x:v>当期值</x:v>
      </x:c>
      <x:c r="J295" s="27" t="str">
        <x:v>全国</x:v>
      </x:c>
      <x:c r="K295" s="27" t="str">
        <x:v>中国</x:v>
      </x:c>
      <x:c r="L295" s="28" t="str">
        <x:v>国家统计局</x:v>
      </x:c>
      <x:c r="M295" s="28" t="str">
        <x:v>getEcoDataChina</x:v>
      </x:c>
      <x:c r="N295" s="27" t="str">
        <x:v>2011-02-28</x:v>
      </x:c>
      <x:c r="O295" s="27" t="str">
        <x:v>2026-06-30</x:v>
      </x:c>
      <x:c r="P295" s="27" t="str">
        <x:v>持续更新</x:v>
      </x:c>
      <x:c r="Q295" s="27" t="str"/>
      <x:c r="R295" s="28" t="str"/>
    </x:row>
    <x:row r="296" ht="48" customHeight="1">
      <x:c r="A296" s="27" t="str">
        <x:v>801150</x:v>
      </x:c>
      <x:c r="B296" s="27" t="str">
        <x:v>医药生物</x:v>
      </x:c>
      <x:c r="C296" s="27" t="n">
        <x:v>25</x:v>
      </x:c>
      <x:c r="D296" s="27" t="str">
        <x:v>1020000857</x:v>
      </x:c>
      <x:c r="E296" s="28" t="str">
        <x:v>税前利润率:医药制造业</x:v>
      </x:c>
      <x:c r="F296" s="28" t="str">
        <x:v>Pre-Tax Profit Margin: Pharmaceutical Manufacturing</x:v>
      </x:c>
      <x:c r="G296" s="27" t="str">
        <x:v>月</x:v>
      </x:c>
      <x:c r="H296" s="27" t="str">
        <x:v>%</x:v>
      </x:c>
      <x:c r="I296" s="27" t="str">
        <x:v>当期值</x:v>
      </x:c>
      <x:c r="J296" s="27" t="str">
        <x:v>全国</x:v>
      </x:c>
      <x:c r="K296" s="27" t="str">
        <x:v>中国</x:v>
      </x:c>
      <x:c r="L296" s="28" t="str">
        <x:v>国家统计局</x:v>
      </x:c>
      <x:c r="M296" s="28" t="str">
        <x:v>getEcoDataChina</x:v>
      </x:c>
      <x:c r="N296" s="27" t="str">
        <x:v>2000-02-29</x:v>
      </x:c>
      <x:c r="O296" s="27" t="str">
        <x:v>2026-06-30</x:v>
      </x:c>
      <x:c r="P296" s="27" t="str">
        <x:v>持续更新</x:v>
      </x:c>
      <x:c r="Q296" s="27" t="str"/>
      <x:c r="R296" s="28" t="str"/>
    </x:row>
    <x:row r="297" ht="48" customHeight="1">
      <x:c r="A297" s="27" t="str">
        <x:v>801150</x:v>
      </x:c>
      <x:c r="B297" s="27" t="str">
        <x:v>医药生物</x:v>
      </x:c>
      <x:c r="C297" s="27" t="n">
        <x:v>26</x:v>
      </x:c>
      <x:c r="D297" s="27" t="str">
        <x:v>2140820663</x:v>
      </x:c>
      <x:c r="E297" s="28" t="str">
        <x:v>药审中心受理新注册申请量:中药:进口再注册:当月值</x:v>
      </x:c>
      <x:c r="F297" s="28" t="str"/>
      <x:c r="G297" s="27" t="str">
        <x:v>月</x:v>
      </x:c>
      <x:c r="H297" s="27" t="str">
        <x:v>个</x:v>
      </x:c>
      <x:c r="I297" s="27" t="str">
        <x:v>当期值</x:v>
      </x:c>
      <x:c r="J297" s="27" t="str">
        <x:v>全国</x:v>
      </x:c>
      <x:c r="K297" s="27" t="str">
        <x:v>中国</x:v>
      </x:c>
      <x:c r="L297" s="28" t="str">
        <x:v>国家药品监督管理局</x:v>
      </x:c>
      <x:c r="M297" s="28" t="str">
        <x:v>getEcoDataIndBiologicalmedicine</x:v>
      </x:c>
      <x:c r="N297" s="27" t="str">
        <x:v>2010-03-31</x:v>
      </x:c>
      <x:c r="O297" s="27" t="str">
        <x:v>2026-06-30</x:v>
      </x:c>
      <x:c r="P297" s="27" t="str">
        <x:v>持续更新</x:v>
      </x:c>
      <x:c r="Q297" s="27" t="str"/>
      <x:c r="R297" s="28" t="str"/>
    </x:row>
    <x:row r="298" ht="48" customHeight="1">
      <x:c r="A298" s="27" t="str">
        <x:v>801150</x:v>
      </x:c>
      <x:c r="B298" s="27" t="str">
        <x:v>医药生物</x:v>
      </x:c>
      <x:c r="C298" s="27" t="n">
        <x:v>27</x:v>
      </x:c>
      <x:c r="D298" s="27" t="str">
        <x:v>2140906288</x:v>
      </x:c>
      <x:c r="E298" s="28" t="str">
        <x:v>进出口金额(美元):两种或两种以上成分混合而成的治病或防病药品(3003):当月值</x:v>
      </x:c>
      <x:c r="F298" s="28" t="str">
        <x:v>Import and Export Value (USD): Medicine for Treating or Preventing Diseases Made by Mixing Two or More Ingredients(3003): Current Month Value</x:v>
      </x:c>
      <x:c r="G298" s="27" t="str">
        <x:v>月</x:v>
      </x:c>
      <x:c r="H298" s="27" t="str">
        <x:v>美元</x:v>
      </x:c>
      <x:c r="I298" s="27" t="str">
        <x:v>当期值</x:v>
      </x:c>
      <x:c r="J298" s="27" t="str">
        <x:v>中国</x:v>
      </x:c>
      <x:c r="K298" s="27" t="str">
        <x:v>中国</x:v>
      </x:c>
      <x:c r="L298" s="28" t="str">
        <x:v>海关总署</x:v>
      </x:c>
      <x:c r="M298" s="28" t="str">
        <x:v>getEcoDataIndBiologicalmedicine</x:v>
      </x:c>
      <x:c r="N298" s="27" t="str">
        <x:v>2015-01-31</x:v>
      </x:c>
      <x:c r="O298" s="27" t="str">
        <x:v>2026-06-30</x:v>
      </x:c>
      <x:c r="P298" s="27" t="str">
        <x:v>持续更新</x:v>
      </x:c>
      <x:c r="Q298" s="27" t="str"/>
      <x:c r="R298" s="28" t="str"/>
    </x:row>
    <x:row r="299" ht="48" customHeight="1">
      <x:c r="A299" s="27" t="str">
        <x:v>801150</x:v>
      </x:c>
      <x:c r="B299" s="27" t="str">
        <x:v>医药生物</x:v>
      </x:c>
      <x:c r="C299" s="27" t="n">
        <x:v>28</x:v>
      </x:c>
      <x:c r="D299" s="27" t="str">
        <x:v>2140906330</x:v>
      </x:c>
      <x:c r="E299" s="28" t="str">
        <x:v>进出口金额(美元):医药用品(3006):当月值</x:v>
      </x:c>
      <x:c r="F299" s="28" t="str">
        <x:v>Import and Export Value (USD): Medical Supplies(3006): Current Month Value</x:v>
      </x:c>
      <x:c r="G299" s="27" t="str">
        <x:v>月</x:v>
      </x:c>
      <x:c r="H299" s="27" t="str">
        <x:v>美元</x:v>
      </x:c>
      <x:c r="I299" s="27" t="str">
        <x:v>当期值</x:v>
      </x:c>
      <x:c r="J299" s="27" t="str">
        <x:v>中国</x:v>
      </x:c>
      <x:c r="K299" s="27" t="str">
        <x:v>中国</x:v>
      </x:c>
      <x:c r="L299" s="28" t="str">
        <x:v>海关总署</x:v>
      </x:c>
      <x:c r="M299" s="28" t="str">
        <x:v>getEcoDataIndBiologicalmedicine</x:v>
      </x:c>
      <x:c r="N299" s="27" t="str">
        <x:v>2015-01-31</x:v>
      </x:c>
      <x:c r="O299" s="27" t="str">
        <x:v>2026-06-30</x:v>
      </x:c>
      <x:c r="P299" s="27" t="str">
        <x:v>持续更新</x:v>
      </x:c>
      <x:c r="Q299" s="27" t="str"/>
      <x:c r="R299" s="28" t="str"/>
    </x:row>
    <x:row r="300" ht="48" customHeight="1">
      <x:c r="A300" s="27" t="str">
        <x:v>801150</x:v>
      </x:c>
      <x:c r="B300" s="27" t="str">
        <x:v>医药生物</x:v>
      </x:c>
      <x:c r="C300" s="27" t="n">
        <x:v>29</x:v>
      </x:c>
      <x:c r="D300" s="27" t="str">
        <x:v>2140906302</x:v>
      </x:c>
      <x:c r="E300" s="28" t="str">
        <x:v>进出口金额(美元):由混合或非混合产品构成的治病或防病用药品(3004):当月值</x:v>
      </x:c>
      <x:c r="F300" s="28" t="str">
        <x:v>Import and Export Value (USD): Medicine for Treating or Preventing Diseases Composed Of Mixed or Non Mixed Products(3004): Current Month Value</x:v>
      </x:c>
      <x:c r="G300" s="27" t="str">
        <x:v>月</x:v>
      </x:c>
      <x:c r="H300" s="27" t="str">
        <x:v>美元</x:v>
      </x:c>
      <x:c r="I300" s="27" t="str">
        <x:v>当期值</x:v>
      </x:c>
      <x:c r="J300" s="27" t="str">
        <x:v>中国</x:v>
      </x:c>
      <x:c r="K300" s="27" t="str">
        <x:v>中国</x:v>
      </x:c>
      <x:c r="L300" s="28" t="str">
        <x:v>海关总署</x:v>
      </x:c>
      <x:c r="M300" s="28" t="str">
        <x:v>getEcoDataIndBiologicalmedicine</x:v>
      </x:c>
      <x:c r="N300" s="27" t="str">
        <x:v>2015-01-31</x:v>
      </x:c>
      <x:c r="O300" s="27" t="str">
        <x:v>2026-06-30</x:v>
      </x:c>
      <x:c r="P300" s="27" t="str">
        <x:v>持续更新</x:v>
      </x:c>
      <x:c r="Q300" s="27" t="str"/>
      <x:c r="R300" s="28" t="str"/>
    </x:row>
    <x:row r="301" ht="48" customHeight="1">
      <x:c r="A301" s="27" t="str">
        <x:v>801150</x:v>
      </x:c>
      <x:c r="B301" s="27" t="str">
        <x:v>医药生物</x:v>
      </x:c>
      <x:c r="C301" s="27" t="n">
        <x:v>30</x:v>
      </x:c>
      <x:c r="D301" s="27" t="str">
        <x:v>2140906144</x:v>
      </x:c>
      <x:c r="E301" s="28" t="str">
        <x:v>进出口金额(美元):药品(30):当月值</x:v>
      </x:c>
      <x:c r="F301" s="28" t="str">
        <x:v>Import and Export Value (USD): Drugs(30): Current Month Value</x:v>
      </x:c>
      <x:c r="G301" s="27" t="str">
        <x:v>月</x:v>
      </x:c>
      <x:c r="H301" s="27" t="str">
        <x:v>美元</x:v>
      </x:c>
      <x:c r="I301" s="27" t="str">
        <x:v>当期值</x:v>
      </x:c>
      <x:c r="J301" s="27" t="str">
        <x:v>中国</x:v>
      </x:c>
      <x:c r="K301" s="27" t="str">
        <x:v>中国</x:v>
      </x:c>
      <x:c r="L301" s="28" t="str">
        <x:v>海关总署</x:v>
      </x:c>
      <x:c r="M301" s="28" t="str">
        <x:v>getEcoDataIndBiologicalmedicine</x:v>
      </x:c>
      <x:c r="N301" s="27" t="str">
        <x:v>2015-01-31</x:v>
      </x:c>
      <x:c r="O301" s="27" t="str">
        <x:v>2026-06-30</x:v>
      </x:c>
      <x:c r="P301" s="27" t="str">
        <x:v>持续更新</x:v>
      </x:c>
      <x:c r="Q301" s="27" t="str"/>
      <x:c r="R301" s="28" t="str"/>
    </x:row>
    <x:row r="302" ht="48" customHeight="1">
      <x:c r="A302" s="27" t="str">
        <x:v>801160</x:v>
      </x:c>
      <x:c r="B302" s="27" t="str">
        <x:v>公用事业</x:v>
      </x:c>
      <x:c r="C302" s="27" t="n">
        <x:v>1</x:v>
      </x:c>
      <x:c r="D302" s="27" t="str">
        <x:v>2020105036</x:v>
      </x:c>
      <x:c r="E302" s="28" t="str">
        <x:v>发电设备装机容量:核电:累计值</x:v>
      </x:c>
      <x:c r="F302" s="28" t="str">
        <x:v>Installed Capacity of Power Generation Equipment: Nuclear Power: Cumulative</x:v>
      </x:c>
      <x:c r="G302" s="27" t="str">
        <x:v>月</x:v>
      </x:c>
      <x:c r="H302" s="27" t="str">
        <x:v>万千瓦</x:v>
      </x:c>
      <x:c r="I302" s="27" t="str">
        <x:v>累计值</x:v>
      </x:c>
      <x:c r="J302" s="27" t="str">
        <x:v>全国</x:v>
      </x:c>
      <x:c r="K302" s="27" t="str">
        <x:v>中国</x:v>
      </x:c>
      <x:c r="L302" s="28" t="str">
        <x:v>中国电力企业联合会</x:v>
      </x:c>
      <x:c r="M302" s="28" t="str">
        <x:v>getEcoDataIndEnergy</x:v>
      </x:c>
      <x:c r="N302" s="27" t="str">
        <x:v>2008-12-31</x:v>
      </x:c>
      <x:c r="O302" s="27" t="str">
        <x:v>2026-06-30</x:v>
      </x:c>
      <x:c r="P302" s="27" t="str">
        <x:v>持续更新</x:v>
      </x:c>
      <x:c r="Q302" s="27" t="str"/>
      <x:c r="R302" s="28" t="str"/>
    </x:row>
    <x:row r="303" ht="48" customHeight="1">
      <x:c r="A303" s="27" t="str">
        <x:v>801160</x:v>
      </x:c>
      <x:c r="B303" s="27" t="str">
        <x:v>公用事业</x:v>
      </x:c>
      <x:c r="C303" s="27" t="n">
        <x:v>2</x:v>
      </x:c>
      <x:c r="D303" s="27" t="str">
        <x:v>2020657644</x:v>
      </x:c>
      <x:c r="E303" s="28" t="str">
        <x:v>发电设备装机容量:水电:累计值</x:v>
      </x:c>
      <x:c r="F303" s="28" t="str">
        <x:v>Installed Capacity of Power Generation Equipment: Hydro Power: Cumulative</x:v>
      </x:c>
      <x:c r="G303" s="27" t="str">
        <x:v>月</x:v>
      </x:c>
      <x:c r="H303" s="27" t="str">
        <x:v>万千瓦</x:v>
      </x:c>
      <x:c r="I303" s="27" t="str">
        <x:v>累计值</x:v>
      </x:c>
      <x:c r="J303" s="27" t="str">
        <x:v>全国</x:v>
      </x:c>
      <x:c r="K303" s="27" t="str">
        <x:v>中国</x:v>
      </x:c>
      <x:c r="L303" s="28" t="str">
        <x:v>中国电力企业联合会</x:v>
      </x:c>
      <x:c r="M303" s="28" t="str">
        <x:v>getEcoDataIndEnergy</x:v>
      </x:c>
      <x:c r="N303" s="27" t="str">
        <x:v>2008-12-31</x:v>
      </x:c>
      <x:c r="O303" s="27" t="str">
        <x:v>2026-06-30</x:v>
      </x:c>
      <x:c r="P303" s="27" t="str">
        <x:v>持续更新</x:v>
      </x:c>
      <x:c r="Q303" s="27" t="str"/>
      <x:c r="R303" s="28" t="str"/>
    </x:row>
    <x:row r="304" ht="48" customHeight="1">
      <x:c r="A304" s="27" t="str">
        <x:v>801160</x:v>
      </x:c>
      <x:c r="B304" s="27" t="str">
        <x:v>公用事业</x:v>
      </x:c>
      <x:c r="C304" s="27" t="n">
        <x:v>3</x:v>
      </x:c>
      <x:c r="D304" s="27" t="str">
        <x:v>2020105035</x:v>
      </x:c>
      <x:c r="E304" s="28" t="str">
        <x:v>发电设备装机容量:火电:累计值</x:v>
      </x:c>
      <x:c r="F304" s="28" t="str">
        <x:v>Installed Capacity of Power Generation Equipment: Thermal Power: Cumulative</x:v>
      </x:c>
      <x:c r="G304" s="27" t="str">
        <x:v>月</x:v>
      </x:c>
      <x:c r="H304" s="27" t="str">
        <x:v>万千瓦</x:v>
      </x:c>
      <x:c r="I304" s="27" t="str">
        <x:v>累计值</x:v>
      </x:c>
      <x:c r="J304" s="27" t="str">
        <x:v>全国</x:v>
      </x:c>
      <x:c r="K304" s="27" t="str">
        <x:v>中国</x:v>
      </x:c>
      <x:c r="L304" s="28" t="str">
        <x:v>中国电力企业联合会</x:v>
      </x:c>
      <x:c r="M304" s="28" t="str">
        <x:v>getEcoDataIndEnergy</x:v>
      </x:c>
      <x:c r="N304" s="27" t="str">
        <x:v>2008-12-31</x:v>
      </x:c>
      <x:c r="O304" s="27" t="str">
        <x:v>2026-06-30</x:v>
      </x:c>
      <x:c r="P304" s="27" t="str">
        <x:v>持续更新</x:v>
      </x:c>
      <x:c r="Q304" s="27" t="str"/>
      <x:c r="R304" s="28" t="str"/>
    </x:row>
    <x:row r="305" ht="48" customHeight="1">
      <x:c r="A305" s="27" t="str">
        <x:v>801160</x:v>
      </x:c>
      <x:c r="B305" s="27" t="str">
        <x:v>公用事业</x:v>
      </x:c>
      <x:c r="C305" s="27" t="n">
        <x:v>4</x:v>
      </x:c>
      <x:c r="D305" s="27" t="str">
        <x:v>2020657645</x:v>
      </x:c>
      <x:c r="E305" s="28" t="str">
        <x:v>发电设备装机容量:风电:累计值</x:v>
      </x:c>
      <x:c r="F305" s="28" t="str">
        <x:v>Installed Capacity of Power Generation Equipment: Wind Power: Cumulative</x:v>
      </x:c>
      <x:c r="G305" s="27" t="str">
        <x:v>月</x:v>
      </x:c>
      <x:c r="H305" s="27" t="str">
        <x:v>万千瓦</x:v>
      </x:c>
      <x:c r="I305" s="27" t="str">
        <x:v>累计值</x:v>
      </x:c>
      <x:c r="J305" s="27" t="str">
        <x:v>全国</x:v>
      </x:c>
      <x:c r="K305" s="27" t="str">
        <x:v>中国</x:v>
      </x:c>
      <x:c r="L305" s="28" t="str">
        <x:v>中国电力企业联合会</x:v>
      </x:c>
      <x:c r="M305" s="28" t="str">
        <x:v>getEcoDataIndEnergy</x:v>
      </x:c>
      <x:c r="N305" s="27" t="str">
        <x:v>2008-12-31</x:v>
      </x:c>
      <x:c r="O305" s="27" t="str">
        <x:v>2026-06-30</x:v>
      </x:c>
      <x:c r="P305" s="27" t="str">
        <x:v>持续更新</x:v>
      </x:c>
      <x:c r="Q305" s="27" t="str"/>
      <x:c r="R305" s="28" t="str"/>
    </x:row>
    <x:row r="306" ht="48" customHeight="1">
      <x:c r="A306" s="27" t="str">
        <x:v>801160</x:v>
      </x:c>
      <x:c r="B306" s="27" t="str">
        <x:v>公用事业</x:v>
      </x:c>
      <x:c r="C306" s="27" t="n">
        <x:v>5</x:v>
      </x:c>
      <x:c r="D306" s="27" t="str">
        <x:v>2020101562</x:v>
      </x:c>
      <x:c r="E306" s="28" t="str">
        <x:v>(全国)发电设备平均利用小时:累计值</x:v>
      </x:c>
      <x:c r="F306" s="28" t="str">
        <x:v>Power Generation Equipment Average Utilization Hours: Cumulative</x:v>
      </x:c>
      <x:c r="G306" s="27" t="str">
        <x:v>月</x:v>
      </x:c>
      <x:c r="H306" s="27" t="str">
        <x:v>小时</x:v>
      </x:c>
      <x:c r="I306" s="27" t="str">
        <x:v>累计值</x:v>
      </x:c>
      <x:c r="J306" s="27" t="str">
        <x:v>全国</x:v>
      </x:c>
      <x:c r="K306" s="27" t="str">
        <x:v>中国</x:v>
      </x:c>
      <x:c r="L306" s="28" t="str">
        <x:v>中国电力企业联合会</x:v>
      </x:c>
      <x:c r="M306" s="28" t="str">
        <x:v>getEcoDataIndEnergy</x:v>
      </x:c>
      <x:c r="N306" s="27" t="str">
        <x:v>2009-07-31</x:v>
      </x:c>
      <x:c r="O306" s="27" t="str">
        <x:v>2026-06-30</x:v>
      </x:c>
      <x:c r="P306" s="27" t="str">
        <x:v>持续更新</x:v>
      </x:c>
      <x:c r="Q306" s="27" t="str"/>
      <x:c r="R306" s="28" t="str"/>
    </x:row>
    <x:row r="307" ht="48" customHeight="1">
      <x:c r="A307" s="27" t="str">
        <x:v>801160</x:v>
      </x:c>
      <x:c r="B307" s="27" t="str">
        <x:v>公用事业</x:v>
      </x:c>
      <x:c r="C307" s="27" t="n">
        <x:v>6</x:v>
      </x:c>
      <x:c r="D307" s="27" t="str">
        <x:v>2020101578</x:v>
      </x:c>
      <x:c r="E307" s="28" t="str">
        <x:v>(全国)发电设备平均利用小时:累计同比增减</x:v>
      </x:c>
      <x:c r="F307" s="28" t="str">
        <x:v>(National) Power Generation Equipment Average Utilization Hours: Cumulative Per Cent Change</x:v>
      </x:c>
      <x:c r="G307" s="27" t="str">
        <x:v>月</x:v>
      </x:c>
      <x:c r="H307" s="27" t="str">
        <x:v>小时</x:v>
      </x:c>
      <x:c r="I307" s="27" t="str">
        <x:v>累计同比增减</x:v>
      </x:c>
      <x:c r="J307" s="27" t="str">
        <x:v>全国</x:v>
      </x:c>
      <x:c r="K307" s="27" t="str">
        <x:v>中国</x:v>
      </x:c>
      <x:c r="L307" s="28" t="str">
        <x:v>中国电力企业联合会</x:v>
      </x:c>
      <x:c r="M307" s="28" t="str">
        <x:v>getEcoDataIndEnergy</x:v>
      </x:c>
      <x:c r="N307" s="27" t="str">
        <x:v>2009-07-31</x:v>
      </x:c>
      <x:c r="O307" s="27" t="str">
        <x:v>2026-06-30</x:v>
      </x:c>
      <x:c r="P307" s="27" t="str">
        <x:v>持续更新</x:v>
      </x:c>
      <x:c r="Q307" s="27" t="str"/>
      <x:c r="R307" s="28" t="str"/>
    </x:row>
    <x:row r="308" ht="48" customHeight="1">
      <x:c r="A308" s="27" t="str">
        <x:v>801160</x:v>
      </x:c>
      <x:c r="B308" s="27" t="str">
        <x:v>公用事业</x:v>
      </x:c>
      <x:c r="C308" s="27" t="n">
        <x:v>7</x:v>
      </x:c>
      <x:c r="D308" s="27" t="str">
        <x:v>1020008711</x:v>
      </x:c>
      <x:c r="E308" s="28" t="str">
        <x:v>产量:发电量:核能:当月同比</x:v>
      </x:c>
      <x:c r="F308" s="28" t="str">
        <x:v>Electricity Generating Capacity: Nuclear Power: Month YoY</x:v>
      </x:c>
      <x:c r="G308" s="27" t="str">
        <x:v>月</x:v>
      </x:c>
      <x:c r="H308" s="27" t="str">
        <x:v>%</x:v>
      </x:c>
      <x:c r="I308" s="27" t="str">
        <x:v>当期同比</x:v>
      </x:c>
      <x:c r="J308" s="27" t="str">
        <x:v>全国</x:v>
      </x:c>
      <x:c r="K308" s="27" t="str">
        <x:v>中国</x:v>
      </x:c>
      <x:c r="L308" s="28" t="str">
        <x:v>国家统计局</x:v>
      </x:c>
      <x:c r="M308" s="28" t="str">
        <x:v>getEcoDataChina</x:v>
      </x:c>
      <x:c r="N308" s="27" t="str">
        <x:v>1997-01-31</x:v>
      </x:c>
      <x:c r="O308" s="27" t="str">
        <x:v>2026-06-30</x:v>
      </x:c>
      <x:c r="P308" s="27" t="str">
        <x:v>持续更新</x:v>
      </x:c>
      <x:c r="Q308" s="27" t="str"/>
      <x:c r="R308" s="28" t="str"/>
    </x:row>
    <x:row r="309" ht="48" customHeight="1">
      <x:c r="A309" s="27" t="str">
        <x:v>801160</x:v>
      </x:c>
      <x:c r="B309" s="27" t="str">
        <x:v>公用事业</x:v>
      </x:c>
      <x:c r="C309" s="27" t="n">
        <x:v>8</x:v>
      </x:c>
      <x:c r="D309" s="27" t="str">
        <x:v>1020008655</x:v>
      </x:c>
      <x:c r="E309" s="28" t="str">
        <x:v>产量:发电量:风力:当月值</x:v>
      </x:c>
      <x:c r="F309" s="28" t="str">
        <x:v>Output of Electricity: Wind Power: Current Value (Month)</x:v>
      </x:c>
      <x:c r="G309" s="27" t="str">
        <x:v>月</x:v>
      </x:c>
      <x:c r="H309" s="27" t="str">
        <x:v>亿千瓦时</x:v>
      </x:c>
      <x:c r="I309" s="27" t="str">
        <x:v>当期值</x:v>
      </x:c>
      <x:c r="J309" s="27" t="str">
        <x:v>全国</x:v>
      </x:c>
      <x:c r="K309" s="27" t="str">
        <x:v>中国</x:v>
      </x:c>
      <x:c r="L309" s="28" t="str">
        <x:v>国家统计局</x:v>
      </x:c>
      <x:c r="M309" s="28" t="str">
        <x:v>getEcoDataChina</x:v>
      </x:c>
      <x:c r="N309" s="27" t="str">
        <x:v>2009-09-30</x:v>
      </x:c>
      <x:c r="O309" s="27" t="str">
        <x:v>2026-06-30</x:v>
      </x:c>
      <x:c r="P309" s="27" t="str">
        <x:v>持续更新</x:v>
      </x:c>
      <x:c r="Q309" s="27" t="str"/>
      <x:c r="R309" s="28" t="str"/>
    </x:row>
    <x:row r="310" ht="48" customHeight="1">
      <x:c r="A310" s="27" t="str">
        <x:v>801160</x:v>
      </x:c>
      <x:c r="B310" s="27" t="str">
        <x:v>公用事业</x:v>
      </x:c>
      <x:c r="C310" s="27" t="n">
        <x:v>9</x:v>
      </x:c>
      <x:c r="D310" s="27" t="str">
        <x:v>1020005915</x:v>
      </x:c>
      <x:c r="E310" s="28" t="str">
        <x:v>利润总额:电力、热力、燃气及水生产和供应业:累计值</x:v>
      </x:c>
      <x:c r="F310" s="28" t="str">
        <x:v>Industrial Enterprises: Total Profit: Electricity, Heat and Water Production and Supply Industry: Cumulative Value</x:v>
      </x:c>
      <x:c r="G310" s="27" t="str">
        <x:v>月</x:v>
      </x:c>
      <x:c r="H310" s="27" t="str">
        <x:v>亿元</x:v>
      </x:c>
      <x:c r="I310" s="27" t="str">
        <x:v>累计值</x:v>
      </x:c>
      <x:c r="J310" s="27" t="str">
        <x:v>全国</x:v>
      </x:c>
      <x:c r="K310" s="27" t="str">
        <x:v>中国</x:v>
      </x:c>
      <x:c r="L310" s="28" t="str">
        <x:v>国家统计局</x:v>
      </x:c>
      <x:c r="M310" s="28" t="str">
        <x:v>getEcoDataChina</x:v>
      </x:c>
      <x:c r="N310" s="27" t="str">
        <x:v>2015-10-31</x:v>
      </x:c>
      <x:c r="O310" s="27" t="str">
        <x:v>2026-06-30</x:v>
      </x:c>
      <x:c r="P310" s="27" t="str">
        <x:v>持续更新</x:v>
      </x:c>
      <x:c r="Q310" s="27" t="str"/>
      <x:c r="R310" s="28" t="str"/>
    </x:row>
    <x:row r="311" ht="48" customHeight="1">
      <x:c r="A311" s="27" t="str">
        <x:v>801160</x:v>
      </x:c>
      <x:c r="B311" s="27" t="str">
        <x:v>公用事业</x:v>
      </x:c>
      <x:c r="C311" s="27" t="n">
        <x:v>10</x:v>
      </x:c>
      <x:c r="D311" s="27" t="str">
        <x:v>2020105037</x:v>
      </x:c>
      <x:c r="E311" s="28" t="str">
        <x:v>发电设备装机容量:太阳能发电:累计值</x:v>
      </x:c>
      <x:c r="F311" s="28" t="str">
        <x:v>Installed Capacity of Power Generation Equipment: Solar Power: Cumulative</x:v>
      </x:c>
      <x:c r="G311" s="27" t="str">
        <x:v>月</x:v>
      </x:c>
      <x:c r="H311" s="27" t="str">
        <x:v>万千瓦</x:v>
      </x:c>
      <x:c r="I311" s="27" t="str">
        <x:v>累计值</x:v>
      </x:c>
      <x:c r="J311" s="27" t="str">
        <x:v>全国</x:v>
      </x:c>
      <x:c r="K311" s="27" t="str">
        <x:v>中国</x:v>
      </x:c>
      <x:c r="L311" s="28" t="str">
        <x:v>中国电力企业联合会</x:v>
      </x:c>
      <x:c r="M311" s="28" t="str">
        <x:v>getEcoDataIndEnergy</x:v>
      </x:c>
      <x:c r="N311" s="27" t="str">
        <x:v>2009-12-31</x:v>
      </x:c>
      <x:c r="O311" s="27" t="str">
        <x:v>2026-06-30</x:v>
      </x:c>
      <x:c r="P311" s="27" t="str">
        <x:v>持续更新</x:v>
      </x:c>
      <x:c r="Q311" s="27" t="str"/>
      <x:c r="R311" s="28" t="str"/>
    </x:row>
    <x:row r="312" ht="48" customHeight="1">
      <x:c r="A312" s="27" t="str">
        <x:v>801160</x:v>
      </x:c>
      <x:c r="B312" s="27" t="str">
        <x:v>公用事业</x:v>
      </x:c>
      <x:c r="C312" s="27" t="n">
        <x:v>11</x:v>
      </x:c>
      <x:c r="D312" s="27" t="str">
        <x:v>1020010425</x:v>
      </x:c>
      <x:c r="E312" s="28" t="str">
        <x:v>投资收益:电力、热力、燃气及水生产和供应业:累计值</x:v>
      </x:c>
      <x:c r="F312" s="28" t="str">
        <x:v>Industrial Enterprises: Investment Return: Electricity, Heat and Water Production and Supply Industry: Cumulative Value</x:v>
      </x:c>
      <x:c r="G312" s="27" t="str">
        <x:v>月</x:v>
      </x:c>
      <x:c r="H312" s="27" t="str">
        <x:v>亿元</x:v>
      </x:c>
      <x:c r="I312" s="27" t="str">
        <x:v>累计值</x:v>
      </x:c>
      <x:c r="J312" s="27" t="str">
        <x:v>全国</x:v>
      </x:c>
      <x:c r="K312" s="27" t="str">
        <x:v>中国</x:v>
      </x:c>
      <x:c r="L312" s="28" t="str">
        <x:v>国家统计局</x:v>
      </x:c>
      <x:c r="M312" s="28" t="str">
        <x:v>getEcoDataChina</x:v>
      </x:c>
      <x:c r="N312" s="27" t="str">
        <x:v>2017-02-28</x:v>
      </x:c>
      <x:c r="O312" s="27" t="str">
        <x:v>2026-06-30</x:v>
      </x:c>
      <x:c r="P312" s="27" t="str">
        <x:v>持续更新</x:v>
      </x:c>
      <x:c r="Q312" s="27" t="str"/>
      <x:c r="R312" s="28" t="str"/>
    </x:row>
    <x:row r="313" ht="48" customHeight="1">
      <x:c r="A313" s="27" t="str">
        <x:v>801160</x:v>
      </x:c>
      <x:c r="B313" s="27" t="str">
        <x:v>公用事业</x:v>
      </x:c>
      <x:c r="C313" s="27" t="n">
        <x:v>12</x:v>
      </x:c>
      <x:c r="D313" s="27" t="str">
        <x:v>1020010419</x:v>
      </x:c>
      <x:c r="E313" s="28" t="str">
        <x:v>营业利润:电力、热力、燃气及水生产和供应业:累计值</x:v>
      </x:c>
      <x:c r="F313" s="28" t="str">
        <x:v>Industrial Enterprises: Operating Profit: Electricity, Heat and Water Production and Supply Industry: Cumulative Value</x:v>
      </x:c>
      <x:c r="G313" s="27" t="str">
        <x:v>月</x:v>
      </x:c>
      <x:c r="H313" s="27" t="str">
        <x:v>亿元</x:v>
      </x:c>
      <x:c r="I313" s="27" t="str">
        <x:v>累计值</x:v>
      </x:c>
      <x:c r="J313" s="27" t="str">
        <x:v>全国</x:v>
      </x:c>
      <x:c r="K313" s="27" t="str">
        <x:v>中国</x:v>
      </x:c>
      <x:c r="L313" s="28" t="str">
        <x:v>国家统计局</x:v>
      </x:c>
      <x:c r="M313" s="28" t="str">
        <x:v>getEcoDataChina</x:v>
      </x:c>
      <x:c r="N313" s="27" t="str">
        <x:v>2017-02-28</x:v>
      </x:c>
      <x:c r="O313" s="27" t="str">
        <x:v>2026-06-30</x:v>
      </x:c>
      <x:c r="P313" s="27" t="str">
        <x:v>持续更新</x:v>
      </x:c>
      <x:c r="Q313" s="27" t="str"/>
      <x:c r="R313" s="28" t="str"/>
    </x:row>
    <x:row r="314" ht="48" customHeight="1">
      <x:c r="A314" s="27" t="str">
        <x:v>801160</x:v>
      </x:c>
      <x:c r="B314" s="27" t="str">
        <x:v>公用事业</x:v>
      </x:c>
      <x:c r="C314" s="27" t="n">
        <x:v>13</x:v>
      </x:c>
      <x:c r="D314" s="27" t="str">
        <x:v>2020101565</x:v>
      </x:c>
      <x:c r="E314" s="28" t="str">
        <x:v>(全国)发电设备平均利用小时:核电:累计值</x:v>
      </x:c>
      <x:c r="F314" s="28" t="str">
        <x:v>(National) Power Generation Equipment Average Utilization Hours: Nuclear Power: YTD</x:v>
      </x:c>
      <x:c r="G314" s="27" t="str">
        <x:v>季</x:v>
      </x:c>
      <x:c r="H314" s="27" t="str">
        <x:v>小时</x:v>
      </x:c>
      <x:c r="I314" s="27" t="str">
        <x:v>累计值</x:v>
      </x:c>
      <x:c r="J314" s="27" t="str">
        <x:v>全国</x:v>
      </x:c>
      <x:c r="K314" s="27" t="str">
        <x:v>中国</x:v>
      </x:c>
      <x:c r="L314" s="28" t="str">
        <x:v>中国电力企业联合会</x:v>
      </x:c>
      <x:c r="M314" s="28" t="str">
        <x:v>getEcoDataIndEnergy</x:v>
      </x:c>
      <x:c r="N314" s="27" t="str">
        <x:v>2009-12-31</x:v>
      </x:c>
      <x:c r="O314" s="27" t="str">
        <x:v>2026-06-30</x:v>
      </x:c>
      <x:c r="P314" s="27" t="str">
        <x:v>持续更新</x:v>
      </x:c>
      <x:c r="Q314" s="27" t="str"/>
      <x:c r="R314" s="28" t="str"/>
    </x:row>
    <x:row r="315" ht="48" customHeight="1">
      <x:c r="A315" s="27" t="str">
        <x:v>801160</x:v>
      </x:c>
      <x:c r="B315" s="27" t="str">
        <x:v>公用事业</x:v>
      </x:c>
      <x:c r="C315" s="27" t="n">
        <x:v>14</x:v>
      </x:c>
      <x:c r="D315" s="27" t="str">
        <x:v>2020101581</x:v>
      </x:c>
      <x:c r="E315" s="28" t="str">
        <x:v>(全国)发电设备平均利用小时:核电:累计同比增减</x:v>
      </x:c>
      <x:c r="F315" s="28" t="str">
        <x:v>(National) Power Generation Equipment Average Utilization Hours: Nuclear Power: Cumulative Per Cent Change</x:v>
      </x:c>
      <x:c r="G315" s="27" t="str">
        <x:v>季</x:v>
      </x:c>
      <x:c r="H315" s="27" t="str">
        <x:v>小时</x:v>
      </x:c>
      <x:c r="I315" s="27" t="str">
        <x:v>累计同比增减</x:v>
      </x:c>
      <x:c r="J315" s="27" t="str">
        <x:v>全国</x:v>
      </x:c>
      <x:c r="K315" s="27" t="str">
        <x:v>中国</x:v>
      </x:c>
      <x:c r="L315" s="28" t="str">
        <x:v>中国电力企业联合会</x:v>
      </x:c>
      <x:c r="M315" s="28" t="str">
        <x:v>getEcoDataIndEnergy</x:v>
      </x:c>
      <x:c r="N315" s="27" t="str">
        <x:v>2009-12-31</x:v>
      </x:c>
      <x:c r="O315" s="27" t="str">
        <x:v>2026-06-30</x:v>
      </x:c>
      <x:c r="P315" s="27" t="str">
        <x:v>持续更新</x:v>
      </x:c>
      <x:c r="Q315" s="27" t="str"/>
      <x:c r="R315" s="28" t="str"/>
    </x:row>
    <x:row r="316" ht="48" customHeight="1">
      <x:c r="A316" s="27" t="str">
        <x:v>801160</x:v>
      </x:c>
      <x:c r="B316" s="27" t="str">
        <x:v>公用事业</x:v>
      </x:c>
      <x:c r="C316" s="27" t="n">
        <x:v>15</x:v>
      </x:c>
      <x:c r="D316" s="27" t="str">
        <x:v>2020101563</x:v>
      </x:c>
      <x:c r="E316" s="28" t="str">
        <x:v>(全国)发电设备平均利用小时:水电:累计值</x:v>
      </x:c>
      <x:c r="F316" s="28" t="str">
        <x:v>Power Generation Equipment Average Utilization Hours: HydroPower: Cumulative</x:v>
      </x:c>
      <x:c r="G316" s="27" t="str">
        <x:v>季</x:v>
      </x:c>
      <x:c r="H316" s="27" t="str">
        <x:v>小时</x:v>
      </x:c>
      <x:c r="I316" s="27" t="str">
        <x:v>累计值</x:v>
      </x:c>
      <x:c r="J316" s="27" t="str">
        <x:v>全国</x:v>
      </x:c>
      <x:c r="K316" s="27" t="str">
        <x:v>中国</x:v>
      </x:c>
      <x:c r="L316" s="28" t="str">
        <x:v>中国电力企业联合会</x:v>
      </x:c>
      <x:c r="M316" s="28" t="str">
        <x:v>getEcoDataIndEnergy</x:v>
      </x:c>
      <x:c r="N316" s="27" t="str">
        <x:v>2009-07-31</x:v>
      </x:c>
      <x:c r="O316" s="27" t="str">
        <x:v>2026-06-30</x:v>
      </x:c>
      <x:c r="P316" s="27" t="str">
        <x:v>持续更新</x:v>
      </x:c>
      <x:c r="Q316" s="27" t="str"/>
      <x:c r="R316" s="28" t="str"/>
    </x:row>
    <x:row r="317" ht="48" customHeight="1">
      <x:c r="A317" s="27" t="str">
        <x:v>801160</x:v>
      </x:c>
      <x:c r="B317" s="27" t="str">
        <x:v>公用事业</x:v>
      </x:c>
      <x:c r="C317" s="27" t="n">
        <x:v>16</x:v>
      </x:c>
      <x:c r="D317" s="27" t="str">
        <x:v>2020101579</x:v>
      </x:c>
      <x:c r="E317" s="28" t="str">
        <x:v>(全国)发电设备平均利用小时:水电:累计同比增减</x:v>
      </x:c>
      <x:c r="F317" s="28" t="str">
        <x:v>(National) Power Generation Equipment Average Utilization Hours: HydroPower: Cumulative Per Cent Change</x:v>
      </x:c>
      <x:c r="G317" s="27" t="str">
        <x:v>季</x:v>
      </x:c>
      <x:c r="H317" s="27" t="str">
        <x:v>小时</x:v>
      </x:c>
      <x:c r="I317" s="27" t="str">
        <x:v>累计同比增减</x:v>
      </x:c>
      <x:c r="J317" s="27" t="str">
        <x:v>全国</x:v>
      </x:c>
      <x:c r="K317" s="27" t="str">
        <x:v>中国</x:v>
      </x:c>
      <x:c r="L317" s="28" t="str">
        <x:v>中国电力企业联合会</x:v>
      </x:c>
      <x:c r="M317" s="28" t="str">
        <x:v>getEcoDataIndEnergy</x:v>
      </x:c>
      <x:c r="N317" s="27" t="str">
        <x:v>2009-07-31</x:v>
      </x:c>
      <x:c r="O317" s="27" t="str">
        <x:v>2026-06-30</x:v>
      </x:c>
      <x:c r="P317" s="27" t="str">
        <x:v>持续更新</x:v>
      </x:c>
      <x:c r="Q317" s="27" t="str"/>
      <x:c r="R317" s="28" t="str"/>
    </x:row>
    <x:row r="318" ht="48" customHeight="1">
      <x:c r="A318" s="27" t="str">
        <x:v>801160</x:v>
      </x:c>
      <x:c r="B318" s="27" t="str">
        <x:v>公用事业</x:v>
      </x:c>
      <x:c r="C318" s="27" t="n">
        <x:v>17</x:v>
      </x:c>
      <x:c r="D318" s="27" t="str">
        <x:v>2020101564</x:v>
      </x:c>
      <x:c r="E318" s="28" t="str">
        <x:v>(全国)发电设备平均利用小时:火电:累计值</x:v>
      </x:c>
      <x:c r="F318" s="28" t="str">
        <x:v>Power Generation Equipment Average Utilization Hours: Rmal Power: Cumulative</x:v>
      </x:c>
      <x:c r="G318" s="27" t="str">
        <x:v>季</x:v>
      </x:c>
      <x:c r="H318" s="27" t="str">
        <x:v>小时</x:v>
      </x:c>
      <x:c r="I318" s="27" t="str">
        <x:v>累计值</x:v>
      </x:c>
      <x:c r="J318" s="27" t="str">
        <x:v>全国</x:v>
      </x:c>
      <x:c r="K318" s="27" t="str">
        <x:v>中国</x:v>
      </x:c>
      <x:c r="L318" s="28" t="str">
        <x:v>中国电力企业联合会</x:v>
      </x:c>
      <x:c r="M318" s="28" t="str">
        <x:v>getEcoDataIndEnergy</x:v>
      </x:c>
      <x:c r="N318" s="27" t="str">
        <x:v>2009-07-31</x:v>
      </x:c>
      <x:c r="O318" s="27" t="str">
        <x:v>2026-06-30</x:v>
      </x:c>
      <x:c r="P318" s="27" t="str">
        <x:v>持续更新</x:v>
      </x:c>
      <x:c r="Q318" s="27" t="str"/>
      <x:c r="R318" s="28" t="str"/>
    </x:row>
    <x:row r="319" ht="48" customHeight="1">
      <x:c r="A319" s="27" t="str">
        <x:v>801160</x:v>
      </x:c>
      <x:c r="B319" s="27" t="str">
        <x:v>公用事业</x:v>
      </x:c>
      <x:c r="C319" s="27" t="n">
        <x:v>18</x:v>
      </x:c>
      <x:c r="D319" s="27" t="str">
        <x:v>2020101580</x:v>
      </x:c>
      <x:c r="E319" s="28" t="str">
        <x:v>(全国)发电设备平均利用小时:火电:累计同比增减</x:v>
      </x:c>
      <x:c r="F319" s="28" t="str">
        <x:v>(National) Power Generation Equipment Average Utilization Hours:rmal Power: Cumulative Per Cent Change</x:v>
      </x:c>
      <x:c r="G319" s="27" t="str">
        <x:v>季</x:v>
      </x:c>
      <x:c r="H319" s="27" t="str">
        <x:v>小时</x:v>
      </x:c>
      <x:c r="I319" s="27" t="str">
        <x:v>累计同比增减</x:v>
      </x:c>
      <x:c r="J319" s="27" t="str">
        <x:v>全国</x:v>
      </x:c>
      <x:c r="K319" s="27" t="str">
        <x:v>中国</x:v>
      </x:c>
      <x:c r="L319" s="28" t="str">
        <x:v>中国电力企业联合会</x:v>
      </x:c>
      <x:c r="M319" s="28" t="str">
        <x:v>getEcoDataIndEnergy</x:v>
      </x:c>
      <x:c r="N319" s="27" t="str">
        <x:v>2009-07-31</x:v>
      </x:c>
      <x:c r="O319" s="27" t="str">
        <x:v>2026-06-30</x:v>
      </x:c>
      <x:c r="P319" s="27" t="str">
        <x:v>持续更新</x:v>
      </x:c>
      <x:c r="Q319" s="27" t="str"/>
      <x:c r="R319" s="28" t="str"/>
    </x:row>
    <x:row r="320" ht="48" customHeight="1">
      <x:c r="A320" s="27" t="str">
        <x:v>801160</x:v>
      </x:c>
      <x:c r="B320" s="27" t="str">
        <x:v>公用事业</x:v>
      </x:c>
      <x:c r="C320" s="27" t="n">
        <x:v>19</x:v>
      </x:c>
      <x:c r="D320" s="27" t="str">
        <x:v>2020101566</x:v>
      </x:c>
      <x:c r="E320" s="28" t="str">
        <x:v>(全国)发电设备平均利用小时:风电:累计值</x:v>
      </x:c>
      <x:c r="F320" s="28" t="str">
        <x:v>(National) Power Generation Equipment Average Utilization Hours: Wind Power: YTD</x:v>
      </x:c>
      <x:c r="G320" s="27" t="str">
        <x:v>季</x:v>
      </x:c>
      <x:c r="H320" s="27" t="str">
        <x:v>小时</x:v>
      </x:c>
      <x:c r="I320" s="27" t="str">
        <x:v>累计值</x:v>
      </x:c>
      <x:c r="J320" s="27" t="str">
        <x:v>全国</x:v>
      </x:c>
      <x:c r="K320" s="27" t="str">
        <x:v>中国</x:v>
      </x:c>
      <x:c r="L320" s="28" t="str">
        <x:v>中国电力企业联合会</x:v>
      </x:c>
      <x:c r="M320" s="28" t="str">
        <x:v>getEcoDataIndEnergy</x:v>
      </x:c>
      <x:c r="N320" s="27" t="str">
        <x:v>2009-12-31</x:v>
      </x:c>
      <x:c r="O320" s="27" t="str">
        <x:v>2026-06-30</x:v>
      </x:c>
      <x:c r="P320" s="27" t="str">
        <x:v>持续更新</x:v>
      </x:c>
      <x:c r="Q320" s="27" t="str"/>
      <x:c r="R320" s="28" t="str"/>
    </x:row>
    <x:row r="321" ht="48" customHeight="1">
      <x:c r="A321" s="27" t="str">
        <x:v>801160</x:v>
      </x:c>
      <x:c r="B321" s="27" t="str">
        <x:v>公用事业</x:v>
      </x:c>
      <x:c r="C321" s="27" t="n">
        <x:v>20</x:v>
      </x:c>
      <x:c r="D321" s="27" t="str">
        <x:v>2020101582</x:v>
      </x:c>
      <x:c r="E321" s="28" t="str">
        <x:v>(全国)发电设备平均利用小时:风电:累计同比增减</x:v>
      </x:c>
      <x:c r="F321" s="28" t="str">
        <x:v>(National) Power Generation Equipment Average Utilization Hours: Wind Power: Cumulative Per Cent Change</x:v>
      </x:c>
      <x:c r="G321" s="27" t="str">
        <x:v>季</x:v>
      </x:c>
      <x:c r="H321" s="27" t="str">
        <x:v>小时</x:v>
      </x:c>
      <x:c r="I321" s="27" t="str">
        <x:v>累计同比增减</x:v>
      </x:c>
      <x:c r="J321" s="27" t="str">
        <x:v>全国</x:v>
      </x:c>
      <x:c r="K321" s="27" t="str">
        <x:v>中国</x:v>
      </x:c>
      <x:c r="L321" s="28" t="str">
        <x:v>中国电力企业联合会</x:v>
      </x:c>
      <x:c r="M321" s="28" t="str">
        <x:v>getEcoDataIndEnergy</x:v>
      </x:c>
      <x:c r="N321" s="27" t="str">
        <x:v>2009-12-31</x:v>
      </x:c>
      <x:c r="O321" s="27" t="str">
        <x:v>2026-06-30</x:v>
      </x:c>
      <x:c r="P321" s="27" t="str">
        <x:v>持续更新</x:v>
      </x:c>
      <x:c r="Q321" s="27" t="str"/>
      <x:c r="R321" s="28" t="str"/>
    </x:row>
    <x:row r="322" ht="48" customHeight="1">
      <x:c r="A322" s="27" t="str">
        <x:v>801160</x:v>
      </x:c>
      <x:c r="B322" s="27" t="str">
        <x:v>公用事业</x:v>
      </x:c>
      <x:c r="C322" s="27" t="n">
        <x:v>21</x:v>
      </x:c>
      <x:c r="D322" s="27" t="str">
        <x:v>2020105038</x:v>
      </x:c>
      <x:c r="E322" s="28" t="str">
        <x:v>发电设备平均利用小时:太阳能发电:累计值</x:v>
      </x:c>
      <x:c r="F322" s="28" t="str">
        <x:v>Power Generation Equipment Average Utilization Hours: Solar Power: Cumulative</x:v>
      </x:c>
      <x:c r="G322" s="27" t="str">
        <x:v>季</x:v>
      </x:c>
      <x:c r="H322" s="27" t="str">
        <x:v>小时</x:v>
      </x:c>
      <x:c r="I322" s="27" t="str">
        <x:v>累计值</x:v>
      </x:c>
      <x:c r="J322" s="27" t="str">
        <x:v>全国</x:v>
      </x:c>
      <x:c r="K322" s="27" t="str">
        <x:v>中国</x:v>
      </x:c>
      <x:c r="L322" s="28" t="str">
        <x:v>中国电力企业联合会</x:v>
      </x:c>
      <x:c r="M322" s="28" t="str">
        <x:v>getEcoDataIndEnergy</x:v>
      </x:c>
      <x:c r="N322" s="27" t="str">
        <x:v>2012-12-31</x:v>
      </x:c>
      <x:c r="O322" s="27" t="str">
        <x:v>2026-06-30</x:v>
      </x:c>
      <x:c r="P322" s="27" t="str">
        <x:v>持续更新</x:v>
      </x:c>
      <x:c r="Q322" s="27" t="str"/>
      <x:c r="R322" s="28" t="str"/>
    </x:row>
    <x:row r="323" ht="48" customHeight="1">
      <x:c r="A323" s="27" t="str">
        <x:v>801160</x:v>
      </x:c>
      <x:c r="B323" s="27" t="str">
        <x:v>公用事业</x:v>
      </x:c>
      <x:c r="C323" s="27" t="n">
        <x:v>22</x:v>
      </x:c>
      <x:c r="D323" s="27" t="str">
        <x:v>2020766782</x:v>
      </x:c>
      <x:c r="E323" s="28" t="str">
        <x:v>核电设备利用小时数:累计值</x:v>
      </x:c>
      <x:c r="F323" s="28" t="str"/>
      <x:c r="G323" s="27" t="str">
        <x:v>季</x:v>
      </x:c>
      <x:c r="H323" s="27" t="str">
        <x:v>小时</x:v>
      </x:c>
      <x:c r="I323" s="27" t="str">
        <x:v>累计值</x:v>
      </x:c>
      <x:c r="J323" s="27" t="str">
        <x:v>全国</x:v>
      </x:c>
      <x:c r="K323" s="27" t="str">
        <x:v>中国</x:v>
      </x:c>
      <x:c r="L323" s="28" t="str">
        <x:v>中国核能行业协会</x:v>
      </x:c>
      <x:c r="M323" s="28" t="str">
        <x:v>getEcoDataIndEnergy</x:v>
      </x:c>
      <x:c r="N323" s="27" t="str">
        <x:v>2014-06-30</x:v>
      </x:c>
      <x:c r="O323" s="27" t="str">
        <x:v>2026-03-31</x:v>
      </x:c>
      <x:c r="P323" s="27" t="str">
        <x:v>持续更新</x:v>
      </x:c>
      <x:c r="Q323" s="27" t="str"/>
      <x:c r="R323" s="28" t="str"/>
    </x:row>
    <x:row r="324" ht="48" customHeight="1">
      <x:c r="A324" s="27" t="str">
        <x:v>801160</x:v>
      </x:c>
      <x:c r="B324" s="27" t="str">
        <x:v>公用事业</x:v>
      </x:c>
      <x:c r="C324" s="27" t="n">
        <x:v>23</x:v>
      </x:c>
      <x:c r="D324" s="27" t="str">
        <x:v>2020640997</x:v>
      </x:c>
      <x:c r="E324" s="28" t="str">
        <x:v>风电并网:利用小时数:合计</x:v>
      </x:c>
      <x:c r="F324" s="28" t="str">
        <x:v>Wind Power Integration to Power Grid: Number of Utilization Hours: Total</x:v>
      </x:c>
      <x:c r="G324" s="27" t="str">
        <x:v>季</x:v>
      </x:c>
      <x:c r="H324" s="27" t="str">
        <x:v>小时</x:v>
      </x:c>
      <x:c r="I324" s="27" t="str">
        <x:v>累计值</x:v>
      </x:c>
      <x:c r="J324" s="27" t="str">
        <x:v>全国</x:v>
      </x:c>
      <x:c r="K324" s="27" t="str">
        <x:v>中国</x:v>
      </x:c>
      <x:c r="L324" s="28" t="str">
        <x:v>能源局</x:v>
      </x:c>
      <x:c r="M324" s="28" t="str">
        <x:v>getEcoDataIndEnergy</x:v>
      </x:c>
      <x:c r="N324" s="27" t="str">
        <x:v>2014-03-31</x:v>
      </x:c>
      <x:c r="O324" s="27" t="str">
        <x:v>2026-06-30</x:v>
      </x:c>
      <x:c r="P324" s="27" t="str">
        <x:v>持续更新</x:v>
      </x:c>
      <x:c r="Q324" s="27" t="str"/>
      <x:c r="R324" s="28" t="str"/>
    </x:row>
    <x:row r="325" ht="48" customHeight="1">
      <x:c r="A325" s="27" t="str">
        <x:v>801160</x:v>
      </x:c>
      <x:c r="B325" s="27" t="str">
        <x:v>公用事业</x:v>
      </x:c>
      <x:c r="C325" s="27" t="n">
        <x:v>24</x:v>
      </x:c>
      <x:c r="D325" s="27" t="str">
        <x:v>2020101525</x:v>
      </x:c>
      <x:c r="E325" s="28" t="str">
        <x:v>全社会用电量:城乡居民生活用电量:当月值</x:v>
      </x:c>
      <x:c r="F325" s="28" t="str">
        <x:v>Total Electricity Consumption: Electricity Consumption of Urban and Rural Residents Living: Current Value (Month)</x:v>
      </x:c>
      <x:c r="G325" s="27" t="str">
        <x:v>月</x:v>
      </x:c>
      <x:c r="H325" s="27" t="str">
        <x:v>亿千瓦时</x:v>
      </x:c>
      <x:c r="I325" s="27" t="str">
        <x:v>当期值</x:v>
      </x:c>
      <x:c r="J325" s="27" t="str">
        <x:v>全国</x:v>
      </x:c>
      <x:c r="K325" s="27" t="str">
        <x:v>中国</x:v>
      </x:c>
      <x:c r="L325" s="28" t="str">
        <x:v>能源局</x:v>
      </x:c>
      <x:c r="M325" s="28" t="str">
        <x:v>getEcoDataIndEnergy</x:v>
      </x:c>
      <x:c r="N325" s="27" t="str">
        <x:v>2009-07-31</x:v>
      </x:c>
      <x:c r="O325" s="27" t="str">
        <x:v>2026-06-30</x:v>
      </x:c>
      <x:c r="P325" s="27" t="str">
        <x:v>持续更新</x:v>
      </x:c>
      <x:c r="Q325" s="27" t="str"/>
      <x:c r="R325" s="28" t="str"/>
    </x:row>
    <x:row r="326" ht="48" customHeight="1">
      <x:c r="A326" s="27" t="str">
        <x:v>801160</x:v>
      </x:c>
      <x:c r="B326" s="27" t="str">
        <x:v>公用事业</x:v>
      </x:c>
      <x:c r="C326" s="27" t="n">
        <x:v>25</x:v>
      </x:c>
      <x:c r="D326" s="27" t="str">
        <x:v>2020101526</x:v>
      </x:c>
      <x:c r="E326" s="28" t="str">
        <x:v>全社会用电量:工业用电:当月值</x:v>
      </x:c>
      <x:c r="F326" s="28" t="str">
        <x:v>Total Electricity Consumption: Industrial Electricity: Current Value (Month)</x:v>
      </x:c>
      <x:c r="G326" s="27" t="str">
        <x:v>月</x:v>
      </x:c>
      <x:c r="H326" s="27" t="str">
        <x:v>亿千瓦时</x:v>
      </x:c>
      <x:c r="I326" s="27" t="str">
        <x:v>当期值</x:v>
      </x:c>
      <x:c r="J326" s="27" t="str">
        <x:v>全国</x:v>
      </x:c>
      <x:c r="K326" s="27" t="str">
        <x:v>中国</x:v>
      </x:c>
      <x:c r="L326" s="28" t="str">
        <x:v>能源局</x:v>
      </x:c>
      <x:c r="M326" s="28" t="str">
        <x:v>getEcoDataIndEnergy</x:v>
      </x:c>
      <x:c r="N326" s="27" t="str">
        <x:v>2009-07-31</x:v>
      </x:c>
      <x:c r="O326" s="27" t="str">
        <x:v>2026-06-30</x:v>
      </x:c>
      <x:c r="P326" s="27" t="str">
        <x:v>持续更新</x:v>
      </x:c>
      <x:c r="Q326" s="27" t="str"/>
      <x:c r="R326" s="28" t="str"/>
    </x:row>
    <x:row r="327" ht="48" customHeight="1">
      <x:c r="A327" s="27" t="str">
        <x:v>801160</x:v>
      </x:c>
      <x:c r="B327" s="27" t="str">
        <x:v>公用事业</x:v>
      </x:c>
      <x:c r="C327" s="27" t="n">
        <x:v>26</x:v>
      </x:c>
      <x:c r="D327" s="27" t="str">
        <x:v>2020101521</x:v>
      </x:c>
      <x:c r="E327" s="28" t="str">
        <x:v>全社会用电量:当月值</x:v>
      </x:c>
      <x:c r="F327" s="28" t="str">
        <x:v>Total Electricity Consumption: Current Value (Month)</x:v>
      </x:c>
      <x:c r="G327" s="27" t="str">
        <x:v>月</x:v>
      </x:c>
      <x:c r="H327" s="27" t="str">
        <x:v>亿千瓦时</x:v>
      </x:c>
      <x:c r="I327" s="27" t="str">
        <x:v>当期值</x:v>
      </x:c>
      <x:c r="J327" s="27" t="str">
        <x:v>全国</x:v>
      </x:c>
      <x:c r="K327" s="27" t="str">
        <x:v>中国</x:v>
      </x:c>
      <x:c r="L327" s="28" t="str">
        <x:v>能源局</x:v>
      </x:c>
      <x:c r="M327" s="28" t="str">
        <x:v>getEcoDataIndEnergy</x:v>
      </x:c>
      <x:c r="N327" s="27" t="str">
        <x:v>2009-07-31</x:v>
      </x:c>
      <x:c r="O327" s="27" t="str">
        <x:v>2026-06-30</x:v>
      </x:c>
      <x:c r="P327" s="27" t="str">
        <x:v>持续更新</x:v>
      </x:c>
      <x:c r="Q327" s="27" t="str"/>
      <x:c r="R327" s="28" t="str"/>
    </x:row>
    <x:row r="328" ht="48" customHeight="1">
      <x:c r="A328" s="27" t="str">
        <x:v>801160</x:v>
      </x:c>
      <x:c r="B328" s="27" t="str">
        <x:v>公用事业</x:v>
      </x:c>
      <x:c r="C328" s="27" t="n">
        <x:v>27</x:v>
      </x:c>
      <x:c r="D328" s="27" t="str">
        <x:v>2020101522</x:v>
      </x:c>
      <x:c r="E328" s="28" t="str">
        <x:v>全社会用电量:第一产业:当月值</x:v>
      </x:c>
      <x:c r="F328" s="28" t="str">
        <x:v>Total Electricity Consumption: Primary Industry: Current Value (Month)</x:v>
      </x:c>
      <x:c r="G328" s="27" t="str">
        <x:v>月</x:v>
      </x:c>
      <x:c r="H328" s="27" t="str">
        <x:v>亿千瓦时</x:v>
      </x:c>
      <x:c r="I328" s="27" t="str">
        <x:v>当期值</x:v>
      </x:c>
      <x:c r="J328" s="27" t="str">
        <x:v>全国</x:v>
      </x:c>
      <x:c r="K328" s="27" t="str">
        <x:v>中国</x:v>
      </x:c>
      <x:c r="L328" s="28" t="str">
        <x:v>能源局</x:v>
      </x:c>
      <x:c r="M328" s="28" t="str">
        <x:v>getEcoDataIndEnergy</x:v>
      </x:c>
      <x:c r="N328" s="27" t="str">
        <x:v>2009-07-31</x:v>
      </x:c>
      <x:c r="O328" s="27" t="str">
        <x:v>2026-06-30</x:v>
      </x:c>
      <x:c r="P328" s="27" t="str">
        <x:v>持续更新</x:v>
      </x:c>
      <x:c r="Q328" s="27" t="str"/>
      <x:c r="R328" s="28" t="str"/>
    </x:row>
    <x:row r="329" ht="48" customHeight="1">
      <x:c r="A329" s="27" t="str">
        <x:v>801160</x:v>
      </x:c>
      <x:c r="B329" s="27" t="str">
        <x:v>公用事业</x:v>
      </x:c>
      <x:c r="C329" s="27" t="n">
        <x:v>28</x:v>
      </x:c>
      <x:c r="D329" s="27" t="str">
        <x:v>2020101524</x:v>
      </x:c>
      <x:c r="E329" s="28" t="str">
        <x:v>全社会用电量:第三产业:当月值</x:v>
      </x:c>
      <x:c r="F329" s="28" t="str">
        <x:v>Total Electricity Consumption: Tertiary Industry: Current Value (Month)</x:v>
      </x:c>
      <x:c r="G329" s="27" t="str">
        <x:v>月</x:v>
      </x:c>
      <x:c r="H329" s="27" t="str">
        <x:v>亿千瓦时</x:v>
      </x:c>
      <x:c r="I329" s="27" t="str">
        <x:v>当期值</x:v>
      </x:c>
      <x:c r="J329" s="27" t="str">
        <x:v>全国</x:v>
      </x:c>
      <x:c r="K329" s="27" t="str">
        <x:v>中国</x:v>
      </x:c>
      <x:c r="L329" s="28" t="str">
        <x:v>能源局</x:v>
      </x:c>
      <x:c r="M329" s="28" t="str">
        <x:v>getEcoDataIndEnergy</x:v>
      </x:c>
      <x:c r="N329" s="27" t="str">
        <x:v>2009-07-31</x:v>
      </x:c>
      <x:c r="O329" s="27" t="str">
        <x:v>2026-06-30</x:v>
      </x:c>
      <x:c r="P329" s="27" t="str">
        <x:v>持续更新</x:v>
      </x:c>
      <x:c r="Q329" s="27" t="str"/>
      <x:c r="R329" s="28" t="str"/>
    </x:row>
    <x:row r="330" ht="48" customHeight="1">
      <x:c r="A330" s="27" t="str">
        <x:v>801160</x:v>
      </x:c>
      <x:c r="B330" s="27" t="str">
        <x:v>公用事业</x:v>
      </x:c>
      <x:c r="C330" s="27" t="n">
        <x:v>29</x:v>
      </x:c>
      <x:c r="D330" s="27" t="str">
        <x:v>2020101523</x:v>
      </x:c>
      <x:c r="E330" s="28" t="str">
        <x:v>全社会用电量:第二产业:当月值</x:v>
      </x:c>
      <x:c r="F330" s="28" t="str">
        <x:v>Total Electricity Consumption: Secondary Industry: Current Value (Month)</x:v>
      </x:c>
      <x:c r="G330" s="27" t="str">
        <x:v>月</x:v>
      </x:c>
      <x:c r="H330" s="27" t="str">
        <x:v>亿千瓦时</x:v>
      </x:c>
      <x:c r="I330" s="27" t="str">
        <x:v>当期值</x:v>
      </x:c>
      <x:c r="J330" s="27" t="str">
        <x:v>全国</x:v>
      </x:c>
      <x:c r="K330" s="27" t="str">
        <x:v>中国</x:v>
      </x:c>
      <x:c r="L330" s="28" t="str">
        <x:v>能源局</x:v>
      </x:c>
      <x:c r="M330" s="28" t="str">
        <x:v>getEcoDataIndEnergy</x:v>
      </x:c>
      <x:c r="N330" s="27" t="str">
        <x:v>2009-07-31</x:v>
      </x:c>
      <x:c r="O330" s="27" t="str">
        <x:v>2026-06-30</x:v>
      </x:c>
      <x:c r="P330" s="27" t="str">
        <x:v>持续更新</x:v>
      </x:c>
      <x:c r="Q330" s="27" t="str"/>
      <x:c r="R330" s="28" t="str"/>
    </x:row>
    <x:row r="331" ht="48" customHeight="1">
      <x:c r="A331" s="27" t="str">
        <x:v>801160</x:v>
      </x:c>
      <x:c r="B331" s="27" t="str">
        <x:v>公用事业</x:v>
      </x:c>
      <x:c r="C331" s="27" t="n">
        <x:v>30</x:v>
      </x:c>
      <x:c r="D331" s="27" t="str">
        <x:v>1020001545</x:v>
      </x:c>
      <x:c r="E331" s="28" t="str">
        <x:v>发电量:水电:当月值</x:v>
      </x:c>
      <x:c r="F331" s="28" t="str">
        <x:v>Output: Hydropower: Current</x:v>
      </x:c>
      <x:c r="G331" s="27" t="str">
        <x:v>月</x:v>
      </x:c>
      <x:c r="H331" s="27" t="str">
        <x:v>亿千瓦时</x:v>
      </x:c>
      <x:c r="I331" s="27" t="str">
        <x:v>当期值</x:v>
      </x:c>
      <x:c r="J331" s="27" t="str">
        <x:v>全国</x:v>
      </x:c>
      <x:c r="K331" s="27" t="str">
        <x:v>中国</x:v>
      </x:c>
      <x:c r="L331" s="28" t="str">
        <x:v>国家统计局</x:v>
      </x:c>
      <x:c r="M331" s="28" t="str">
        <x:v>getEcoDataChina</x:v>
      </x:c>
      <x:c r="N331" s="27" t="str">
        <x:v>1986-02-28</x:v>
      </x:c>
      <x:c r="O331" s="27" t="str">
        <x:v>2026-06-30</x:v>
      </x:c>
      <x:c r="P331" s="27" t="str">
        <x:v>持续更新</x:v>
      </x:c>
      <x:c r="Q331" s="27" t="str"/>
      <x:c r="R331" s="28" t="str"/>
    </x:row>
    <x:row r="332" ht="48" customHeight="1">
      <x:c r="A332" s="27" t="str">
        <x:v>801170</x:v>
      </x:c>
      <x:c r="B332" s="27" t="str">
        <x:v>交通运输</x:v>
      </x:c>
      <x:c r="C332" s="27" t="n">
        <x:v>1</x:v>
      </x:c>
      <x:c r="D332" s="27" t="str">
        <x:v>2160606526</x:v>
      </x:c>
      <x:c r="E332" s="28" t="str">
        <x:v>北方国际干散货运价指数(TBI)</x:v>
      </x:c>
      <x:c r="F332" s="28" t="str">
        <x:v>Tianjin Bulk Freight Index (TBI)</x:v>
      </x:c>
      <x:c r="G332" s="27" t="str">
        <x:v>日</x:v>
      </x:c>
      <x:c r="H332" s="27" t="str">
        <x:v>点</x:v>
      </x:c>
      <x:c r="I332" s="27" t="str">
        <x:v>当期值</x:v>
      </x:c>
      <x:c r="J332" s="27" t="str">
        <x:v>全国</x:v>
      </x:c>
      <x:c r="K332" s="27" t="str">
        <x:v>中国</x:v>
      </x:c>
      <x:c r="L332" s="28" t="str">
        <x:v>天津国际贸易与航运服务中心</x:v>
      </x:c>
      <x:c r="M332" s="28" t="str">
        <x:v>getEcoDataIndTraffictransport</x:v>
      </x:c>
      <x:c r="N332" s="27" t="str">
        <x:v>2012-03-05</x:v>
      </x:c>
      <x:c r="O332" s="27" t="str">
        <x:v>2026-08-07</x:v>
      </x:c>
      <x:c r="P332" s="27" t="str">
        <x:v>持续更新</x:v>
      </x:c>
      <x:c r="Q332" s="27" t="str"/>
      <x:c r="R332" s="28" t="str"/>
    </x:row>
    <x:row r="333" ht="48" customHeight="1">
      <x:c r="A333" s="27" t="str">
        <x:v>801170</x:v>
      </x:c>
      <x:c r="B333" s="27" t="str">
        <x:v>交通运输</x:v>
      </x:c>
      <x:c r="C333" s="27" t="n">
        <x:v>2</x:v>
      </x:c>
      <x:c r="D333" s="27" t="str">
        <x:v>2160606527</x:v>
      </x:c>
      <x:c r="E333" s="28" t="str">
        <x:v>北方国际集装箱运价指数(TCI)</x:v>
      </x:c>
      <x:c r="F333" s="28" t="str">
        <x:v>Tianjin Container Freight Index (TCI)</x:v>
      </x:c>
      <x:c r="G333" s="27" t="str">
        <x:v>日</x:v>
      </x:c>
      <x:c r="H333" s="27" t="str">
        <x:v>点</x:v>
      </x:c>
      <x:c r="I333" s="27" t="str">
        <x:v>当期值</x:v>
      </x:c>
      <x:c r="J333" s="27" t="str">
        <x:v>全国</x:v>
      </x:c>
      <x:c r="K333" s="27" t="str">
        <x:v>中国</x:v>
      </x:c>
      <x:c r="L333" s="28" t="str">
        <x:v>天津国际贸易与航运服务中心</x:v>
      </x:c>
      <x:c r="M333" s="28" t="str">
        <x:v>getEcoDataIndTraffictransport</x:v>
      </x:c>
      <x:c r="N333" s="27" t="str">
        <x:v>2012-03-05</x:v>
      </x:c>
      <x:c r="O333" s="27" t="str">
        <x:v>2026-08-07</x:v>
      </x:c>
      <x:c r="P333" s="27" t="str">
        <x:v>持续更新</x:v>
      </x:c>
      <x:c r="Q333" s="27" t="str"/>
      <x:c r="R333" s="28" t="str"/>
    </x:row>
    <x:row r="334" ht="48" customHeight="1">
      <x:c r="A334" s="27" t="str">
        <x:v>801170</x:v>
      </x:c>
      <x:c r="B334" s="27" t="str">
        <x:v>交通运输</x:v>
      </x:c>
      <x:c r="C334" s="27" t="n">
        <x:v>3</x:v>
      </x:c>
      <x:c r="D334" s="27" t="str">
        <x:v>2160606461</x:v>
      </x:c>
      <x:c r="E334" s="28" t="str">
        <x:v>北方国际集装箱运价指数(TCI):天津-中南美基本港</x:v>
      </x:c>
      <x:c r="F334" s="28" t="str">
        <x:v>Tianjin Container Freight Index (TCI): Tianjin-Central and South America (Base Port)</x:v>
      </x:c>
      <x:c r="G334" s="27" t="str">
        <x:v>日</x:v>
      </x:c>
      <x:c r="H334" s="27" t="str">
        <x:v>点</x:v>
      </x:c>
      <x:c r="I334" s="27" t="str">
        <x:v>当期值</x:v>
      </x:c>
      <x:c r="J334" s="27" t="str">
        <x:v>全国</x:v>
      </x:c>
      <x:c r="K334" s="27" t="str">
        <x:v>中国</x:v>
      </x:c>
      <x:c r="L334" s="28" t="str">
        <x:v>天津国际贸易与航运服务中心</x:v>
      </x:c>
      <x:c r="M334" s="28" t="str">
        <x:v>getEcoDataIndTraffictransport</x:v>
      </x:c>
      <x:c r="N334" s="27" t="str">
        <x:v>2012-11-08</x:v>
      </x:c>
      <x:c r="O334" s="27" t="str">
        <x:v>2026-08-07</x:v>
      </x:c>
      <x:c r="P334" s="27" t="str">
        <x:v>持续更新</x:v>
      </x:c>
      <x:c r="Q334" s="27" t="str"/>
      <x:c r="R334" s="28" t="str"/>
    </x:row>
    <x:row r="335" ht="48" customHeight="1">
      <x:c r="A335" s="27" t="str">
        <x:v>801170</x:v>
      </x:c>
      <x:c r="B335" s="27" t="str">
        <x:v>交通运输</x:v>
      </x:c>
      <x:c r="C335" s="27" t="n">
        <x:v>4</x:v>
      </x:c>
      <x:c r="D335" s="27" t="str">
        <x:v>2160606460</x:v>
      </x:c>
      <x:c r="E335" s="28" t="str">
        <x:v>北方国际集装箱运价指数(TCI):天津-南美东基本港</x:v>
      </x:c>
      <x:c r="F335" s="28" t="str">
        <x:v>Tianjin Container Freight Index (TCI): Tianjin-East Coast of South America (Base Port)</x:v>
      </x:c>
      <x:c r="G335" s="27" t="str">
        <x:v>日</x:v>
      </x:c>
      <x:c r="H335" s="27" t="str">
        <x:v>点</x:v>
      </x:c>
      <x:c r="I335" s="27" t="str">
        <x:v>当期值</x:v>
      </x:c>
      <x:c r="J335" s="27" t="str">
        <x:v>全国</x:v>
      </x:c>
      <x:c r="K335" s="27" t="str">
        <x:v>中国</x:v>
      </x:c>
      <x:c r="L335" s="28" t="str">
        <x:v>天津国际贸易与航运服务中心</x:v>
      </x:c>
      <x:c r="M335" s="28" t="str">
        <x:v>getEcoDataIndTraffictransport</x:v>
      </x:c>
      <x:c r="N335" s="27" t="str">
        <x:v>2012-11-08</x:v>
      </x:c>
      <x:c r="O335" s="27" t="str">
        <x:v>2026-08-07</x:v>
      </x:c>
      <x:c r="P335" s="27" t="str">
        <x:v>持续更新</x:v>
      </x:c>
      <x:c r="Q335" s="27" t="str"/>
      <x:c r="R335" s="28" t="str"/>
    </x:row>
    <x:row r="336" ht="48" customHeight="1">
      <x:c r="A336" s="27" t="str">
        <x:v>801170</x:v>
      </x:c>
      <x:c r="B336" s="27" t="str">
        <x:v>交通运输</x:v>
      </x:c>
      <x:c r="C336" s="27" t="n">
        <x:v>5</x:v>
      </x:c>
      <x:c r="D336" s="27" t="str">
        <x:v>2160606459</x:v>
      </x:c>
      <x:c r="E336" s="28" t="str">
        <x:v>北方国际集装箱运价指数(TCI):天津-南美西基本港</x:v>
      </x:c>
      <x:c r="F336" s="28" t="str">
        <x:v>Tianjin Container Freight Index (TCI): Tianjin-West Coast of South America (Base Port)</x:v>
      </x:c>
      <x:c r="G336" s="27" t="str">
        <x:v>日</x:v>
      </x:c>
      <x:c r="H336" s="27" t="str">
        <x:v>点</x:v>
      </x:c>
      <x:c r="I336" s="27" t="str">
        <x:v>当期值</x:v>
      </x:c>
      <x:c r="J336" s="27" t="str">
        <x:v>全国</x:v>
      </x:c>
      <x:c r="K336" s="27" t="str">
        <x:v>中国</x:v>
      </x:c>
      <x:c r="L336" s="28" t="str">
        <x:v>天津国际贸易与航运服务中心</x:v>
      </x:c>
      <x:c r="M336" s="28" t="str">
        <x:v>getEcoDataIndTraffictransport</x:v>
      </x:c>
      <x:c r="N336" s="27" t="str">
        <x:v>2012-11-08</x:v>
      </x:c>
      <x:c r="O336" s="27" t="str">
        <x:v>2026-08-07</x:v>
      </x:c>
      <x:c r="P336" s="27" t="str">
        <x:v>持续更新</x:v>
      </x:c>
      <x:c r="Q336" s="27" t="str"/>
      <x:c r="R336" s="28" t="str"/>
    </x:row>
    <x:row r="337" ht="48" customHeight="1">
      <x:c r="A337" s="27" t="str">
        <x:v>801170</x:v>
      </x:c>
      <x:c r="B337" s="27" t="str">
        <x:v>交通运输</x:v>
      </x:c>
      <x:c r="C337" s="27" t="n">
        <x:v>6</x:v>
      </x:c>
      <x:c r="D337" s="27" t="str">
        <x:v>2160606455</x:v>
      </x:c>
      <x:c r="E337" s="28" t="str">
        <x:v>北方国际集装箱运价指数(TCI):天津-地中海东部基本港</x:v>
      </x:c>
      <x:c r="F337" s="28" t="str">
        <x:v>Tianjin Container Freight Index (TCI): Tianjin-Eastern of Mediterranean (Base Port)</x:v>
      </x:c>
      <x:c r="G337" s="27" t="str">
        <x:v>日</x:v>
      </x:c>
      <x:c r="H337" s="27" t="str">
        <x:v>点</x:v>
      </x:c>
      <x:c r="I337" s="27" t="str">
        <x:v>当期值</x:v>
      </x:c>
      <x:c r="J337" s="27" t="str">
        <x:v>全国</x:v>
      </x:c>
      <x:c r="K337" s="27" t="str">
        <x:v>中国</x:v>
      </x:c>
      <x:c r="L337" s="28" t="str">
        <x:v>天津国际贸易与航运服务中心</x:v>
      </x:c>
      <x:c r="M337" s="28" t="str">
        <x:v>getEcoDataIndTraffictransport</x:v>
      </x:c>
      <x:c r="N337" s="27" t="str">
        <x:v>2012-11-08</x:v>
      </x:c>
      <x:c r="O337" s="27" t="str">
        <x:v>2026-08-07</x:v>
      </x:c>
      <x:c r="P337" s="27" t="str">
        <x:v>持续更新</x:v>
      </x:c>
      <x:c r="Q337" s="27" t="str"/>
      <x:c r="R337" s="28" t="str"/>
    </x:row>
    <x:row r="338" ht="48" customHeight="1">
      <x:c r="A338" s="27" t="str">
        <x:v>801170</x:v>
      </x:c>
      <x:c r="B338" s="27" t="str">
        <x:v>交通运输</x:v>
      </x:c>
      <x:c r="C338" s="27" t="n">
        <x:v>7</x:v>
      </x:c>
      <x:c r="D338" s="27" t="str">
        <x:v>2160606456</x:v>
      </x:c>
      <x:c r="E338" s="28" t="str">
        <x:v>北方国际集装箱运价指数(TCI):天津-地中海西部基本港</x:v>
      </x:c>
      <x:c r="F338" s="28" t="str">
        <x:v>Tianjin Container Freight Index (TCI): Tianjin-Western of Mediterranean (Base Port)</x:v>
      </x:c>
      <x:c r="G338" s="27" t="str">
        <x:v>日</x:v>
      </x:c>
      <x:c r="H338" s="27" t="str">
        <x:v>点</x:v>
      </x:c>
      <x:c r="I338" s="27" t="str">
        <x:v>当期值</x:v>
      </x:c>
      <x:c r="J338" s="27" t="str">
        <x:v>全国</x:v>
      </x:c>
      <x:c r="K338" s="27" t="str">
        <x:v>中国</x:v>
      </x:c>
      <x:c r="L338" s="28" t="str">
        <x:v>天津国际贸易与航运服务中心</x:v>
      </x:c>
      <x:c r="M338" s="28" t="str">
        <x:v>getEcoDataIndTraffictransport</x:v>
      </x:c>
      <x:c r="N338" s="27" t="str">
        <x:v>2012-11-08</x:v>
      </x:c>
      <x:c r="O338" s="27" t="str">
        <x:v>2026-08-07</x:v>
      </x:c>
      <x:c r="P338" s="27" t="str">
        <x:v>持续更新</x:v>
      </x:c>
      <x:c r="Q338" s="27" t="str"/>
      <x:c r="R338" s="28" t="str"/>
    </x:row>
    <x:row r="339" ht="48" customHeight="1">
      <x:c r="A339" s="27" t="str">
        <x:v>801170</x:v>
      </x:c>
      <x:c r="B339" s="27" t="str">
        <x:v>交通运输</x:v>
      </x:c>
      <x:c r="C339" s="27" t="n">
        <x:v>8</x:v>
      </x:c>
      <x:c r="D339" s="27" t="str">
        <x:v>2160606454</x:v>
      </x:c>
      <x:c r="E339" s="28" t="str">
        <x:v>北方国际集装箱运价指数(TCI):天津-欧洲基本港</x:v>
      </x:c>
      <x:c r="F339" s="28" t="str">
        <x:v>Tianjin Container Freight Index (TCI): Tianjin-Europe (Base Port)</x:v>
      </x:c>
      <x:c r="G339" s="27" t="str">
        <x:v>日</x:v>
      </x:c>
      <x:c r="H339" s="27" t="str">
        <x:v>点</x:v>
      </x:c>
      <x:c r="I339" s="27" t="str">
        <x:v>当期值</x:v>
      </x:c>
      <x:c r="J339" s="27" t="str">
        <x:v>全国</x:v>
      </x:c>
      <x:c r="K339" s="27" t="str">
        <x:v>中国</x:v>
      </x:c>
      <x:c r="L339" s="28" t="str">
        <x:v>天津国际贸易与航运服务中心</x:v>
      </x:c>
      <x:c r="M339" s="28" t="str">
        <x:v>getEcoDataIndTraffictransport</x:v>
      </x:c>
      <x:c r="N339" s="27" t="str">
        <x:v>2012-11-08</x:v>
      </x:c>
      <x:c r="O339" s="27" t="str">
        <x:v>2026-08-07</x:v>
      </x:c>
      <x:c r="P339" s="27" t="str">
        <x:v>持续更新</x:v>
      </x:c>
      <x:c r="Q339" s="27" t="str"/>
      <x:c r="R339" s="28" t="str"/>
    </x:row>
    <x:row r="340" ht="48" customHeight="1">
      <x:c r="A340" s="27" t="str">
        <x:v>801170</x:v>
      </x:c>
      <x:c r="B340" s="27" t="str">
        <x:v>交通运输</x:v>
      </x:c>
      <x:c r="C340" s="27" t="n">
        <x:v>9</x:v>
      </x:c>
      <x:c r="D340" s="27" t="str">
        <x:v>2160606468</x:v>
      </x:c>
      <x:c r="E340" s="28" t="str">
        <x:v>北方国际集装箱运价指数(TCI):天津-波斯湾基本港</x:v>
      </x:c>
      <x:c r="F340" s="28" t="str">
        <x:v>Tianjin Container Freight Index (TCI): Tianjin-Persian Gulf (Base Port)</x:v>
      </x:c>
      <x:c r="G340" s="27" t="str">
        <x:v>日</x:v>
      </x:c>
      <x:c r="H340" s="27" t="str">
        <x:v>点</x:v>
      </x:c>
      <x:c r="I340" s="27" t="str">
        <x:v>当期值</x:v>
      </x:c>
      <x:c r="J340" s="27" t="str">
        <x:v>全国</x:v>
      </x:c>
      <x:c r="K340" s="27" t="str">
        <x:v>中国</x:v>
      </x:c>
      <x:c r="L340" s="28" t="str">
        <x:v>天津国际贸易与航运服务中心</x:v>
      </x:c>
      <x:c r="M340" s="28" t="str">
        <x:v>getEcoDataIndTraffictransport</x:v>
      </x:c>
      <x:c r="N340" s="27" t="str">
        <x:v>2012-11-08</x:v>
      </x:c>
      <x:c r="O340" s="27" t="str">
        <x:v>2026-08-07</x:v>
      </x:c>
      <x:c r="P340" s="27" t="str">
        <x:v>持续更新</x:v>
      </x:c>
      <x:c r="Q340" s="27" t="str"/>
      <x:c r="R340" s="28" t="str"/>
    </x:row>
    <x:row r="341" ht="48" customHeight="1">
      <x:c r="A341" s="27" t="str">
        <x:v>801170</x:v>
      </x:c>
      <x:c r="B341" s="27" t="str">
        <x:v>交通运输</x:v>
      </x:c>
      <x:c r="C341" s="27" t="n">
        <x:v>10</x:v>
      </x:c>
      <x:c r="D341" s="27" t="str">
        <x:v>2160606470</x:v>
      </x:c>
      <x:c r="E341" s="28" t="str">
        <x:v>沿海集装箱出港运价指数(TDOI)</x:v>
      </x:c>
      <x:c r="F341" s="28" t="str">
        <x:v>Tianjin Domestic Container Outward Freight Index (TDOI)</x:v>
      </x:c>
      <x:c r="G341" s="27" t="str">
        <x:v>日</x:v>
      </x:c>
      <x:c r="H341" s="27" t="str">
        <x:v>点</x:v>
      </x:c>
      <x:c r="I341" s="27" t="str">
        <x:v>当期值</x:v>
      </x:c>
      <x:c r="J341" s="27" t="str">
        <x:v>全国</x:v>
      </x:c>
      <x:c r="K341" s="27" t="str">
        <x:v>中国</x:v>
      </x:c>
      <x:c r="L341" s="28" t="str">
        <x:v>天津国际贸易与航运服务中心</x:v>
      </x:c>
      <x:c r="M341" s="28" t="str">
        <x:v>getEcoDataIndTraffictransport</x:v>
      </x:c>
      <x:c r="N341" s="27" t="str">
        <x:v>2012-11-08</x:v>
      </x:c>
      <x:c r="O341" s="27" t="str">
        <x:v>2026-08-07</x:v>
      </x:c>
      <x:c r="P341" s="27" t="str">
        <x:v>持续更新</x:v>
      </x:c>
      <x:c r="Q341" s="27" t="str"/>
      <x:c r="R341" s="28" t="str"/>
    </x:row>
    <x:row r="342" ht="48" customHeight="1">
      <x:c r="A342" s="27" t="str">
        <x:v>801170</x:v>
      </x:c>
      <x:c r="B342" s="27" t="str">
        <x:v>交通运输</x:v>
      </x:c>
      <x:c r="C342" s="27" t="n">
        <x:v>11</x:v>
      </x:c>
      <x:c r="D342" s="27" t="str">
        <x:v>2160606528</x:v>
      </x:c>
      <x:c r="E342" s="28" t="str">
        <x:v>沿海集装箱运价指数(TDI)</x:v>
      </x:c>
      <x:c r="F342" s="28" t="str">
        <x:v>Tianjin Domestic Container Freight Index (TDI)</x:v>
      </x:c>
      <x:c r="G342" s="27" t="str">
        <x:v>日</x:v>
      </x:c>
      <x:c r="H342" s="27" t="str">
        <x:v>点</x:v>
      </x:c>
      <x:c r="I342" s="27" t="str">
        <x:v>当期值</x:v>
      </x:c>
      <x:c r="J342" s="27" t="str">
        <x:v>全国</x:v>
      </x:c>
      <x:c r="K342" s="27" t="str">
        <x:v>中国</x:v>
      </x:c>
      <x:c r="L342" s="28" t="str">
        <x:v>天津国际贸易与航运服务中心</x:v>
      </x:c>
      <x:c r="M342" s="28" t="str">
        <x:v>getEcoDataIndTraffictransport</x:v>
      </x:c>
      <x:c r="N342" s="27" t="str">
        <x:v>2012-10-26</x:v>
      </x:c>
      <x:c r="O342" s="27" t="str">
        <x:v>2026-08-07</x:v>
      </x:c>
      <x:c r="P342" s="27" t="str">
        <x:v>持续更新</x:v>
      </x:c>
      <x:c r="Q342" s="27" t="str"/>
      <x:c r="R342" s="28" t="str"/>
    </x:row>
    <x:row r="343" ht="48" customHeight="1">
      <x:c r="A343" s="27" t="str">
        <x:v>801170</x:v>
      </x:c>
      <x:c r="B343" s="27" t="str">
        <x:v>交通运输</x:v>
      </x:c>
      <x:c r="C343" s="27" t="n">
        <x:v>12</x:v>
      </x:c>
      <x:c r="D343" s="27" t="str">
        <x:v>2160606474</x:v>
      </x:c>
      <x:c r="E343" s="28" t="str">
        <x:v>沿海集装箱进港运价指数(TDII)</x:v>
      </x:c>
      <x:c r="F343" s="28" t="str">
        <x:v>Tianjin Domestic Container Inward Freight Index (TDII)</x:v>
      </x:c>
      <x:c r="G343" s="27" t="str">
        <x:v>日</x:v>
      </x:c>
      <x:c r="H343" s="27" t="str">
        <x:v>点</x:v>
      </x:c>
      <x:c r="I343" s="27" t="str">
        <x:v>当期值</x:v>
      </x:c>
      <x:c r="J343" s="27" t="str">
        <x:v>全国</x:v>
      </x:c>
      <x:c r="K343" s="27" t="str">
        <x:v>中国</x:v>
      </x:c>
      <x:c r="L343" s="28" t="str">
        <x:v>天津国际贸易与航运服务中心</x:v>
      </x:c>
      <x:c r="M343" s="28" t="str">
        <x:v>getEcoDataIndTraffictransport</x:v>
      </x:c>
      <x:c r="N343" s="27" t="str">
        <x:v>2012-11-08</x:v>
      </x:c>
      <x:c r="O343" s="27" t="str">
        <x:v>2026-08-07</x:v>
      </x:c>
      <x:c r="P343" s="27" t="str">
        <x:v>持续更新</x:v>
      </x:c>
      <x:c r="Q343" s="27" t="str"/>
      <x:c r="R343" s="28" t="str"/>
    </x:row>
    <x:row r="344" ht="48" customHeight="1">
      <x:c r="A344" s="27" t="str">
        <x:v>801170</x:v>
      </x:c>
      <x:c r="B344" s="27" t="str">
        <x:v>交通运输</x:v>
      </x:c>
      <x:c r="C344" s="27" t="n">
        <x:v>13</x:v>
      </x:c>
      <x:c r="D344" s="27" t="str">
        <x:v>2160004307</x:v>
      </x:c>
      <x:c r="E344" s="28" t="str">
        <x:v>中国公路物流运价指数:东北:周环比</x:v>
      </x:c>
      <x:c r="F344" s="28" t="str">
        <x:v>Logistics Area Index: Northeast China: WoW</x:v>
      </x:c>
      <x:c r="G344" s="27" t="str">
        <x:v>周</x:v>
      </x:c>
      <x:c r="H344" s="27" t="str">
        <x:v>%</x:v>
      </x:c>
      <x:c r="I344" s="27" t="str">
        <x:v>当期环比</x:v>
      </x:c>
      <x:c r="J344" s="27" t="str">
        <x:v>中国大陆</x:v>
      </x:c>
      <x:c r="K344" s="27" t="str">
        <x:v>中国</x:v>
      </x:c>
      <x:c r="L344" s="28" t="str">
        <x:v>中国公路物流运价指数</x:v>
      </x:c>
      <x:c r="M344" s="28" t="str">
        <x:v>getEcoDataIndTraffictransport</x:v>
      </x:c>
      <x:c r="N344" s="27" t="str">
        <x:v>2013-01-02</x:v>
      </x:c>
      <x:c r="O344" s="27" t="str">
        <x:v>2026-08-05</x:v>
      </x:c>
      <x:c r="P344" s="27" t="str">
        <x:v>持续更新</x:v>
      </x:c>
      <x:c r="Q344" s="27" t="str"/>
      <x:c r="R344" s="28" t="str"/>
    </x:row>
    <x:row r="345" ht="48" customHeight="1">
      <x:c r="A345" s="27" t="str">
        <x:v>801170</x:v>
      </x:c>
      <x:c r="B345" s="27" t="str">
        <x:v>交通运输</x:v>
      </x:c>
      <x:c r="C345" s="27" t="n">
        <x:v>14</x:v>
      </x:c>
      <x:c r="D345" s="27" t="str">
        <x:v>2160004310</x:v>
      </x:c>
      <x:c r="E345" s="28" t="str">
        <x:v>中国公路物流运价指数:东南沿海:周环比</x:v>
      </x:c>
      <x:c r="F345" s="28" t="str">
        <x:v>Logistics Area Index: Southeast Coast: WoW</x:v>
      </x:c>
      <x:c r="G345" s="27" t="str">
        <x:v>周</x:v>
      </x:c>
      <x:c r="H345" s="27" t="str">
        <x:v>%</x:v>
      </x:c>
      <x:c r="I345" s="27" t="str">
        <x:v>当期环比</x:v>
      </x:c>
      <x:c r="J345" s="27" t="str">
        <x:v>中国大陆</x:v>
      </x:c>
      <x:c r="K345" s="27" t="str">
        <x:v>中国</x:v>
      </x:c>
      <x:c r="L345" s="28" t="str">
        <x:v>中国公路物流运价指数</x:v>
      </x:c>
      <x:c r="M345" s="28" t="str">
        <x:v>getEcoDataIndTraffictransport</x:v>
      </x:c>
      <x:c r="N345" s="27" t="str">
        <x:v>2013-01-02</x:v>
      </x:c>
      <x:c r="O345" s="27" t="str">
        <x:v>2026-08-05</x:v>
      </x:c>
      <x:c r="P345" s="27" t="str">
        <x:v>持续更新</x:v>
      </x:c>
      <x:c r="Q345" s="27" t="str"/>
      <x:c r="R345" s="28" t="str"/>
    </x:row>
    <x:row r="346" ht="48" customHeight="1">
      <x:c r="A346" s="27" t="str">
        <x:v>801170</x:v>
      </x:c>
      <x:c r="B346" s="27" t="str">
        <x:v>交通运输</x:v>
      </x:c>
      <x:c r="C346" s="27" t="n">
        <x:v>15</x:v>
      </x:c>
      <x:c r="D346" s="27" t="str">
        <x:v>2160004313</x:v>
      </x:c>
      <x:c r="E346" s="28" t="str">
        <x:v>中国公路物流运价指数:华中:周环比</x:v>
      </x:c>
      <x:c r="F346" s="28" t="str">
        <x:v>Logistics Area Index: Central China: WoW</x:v>
      </x:c>
      <x:c r="G346" s="27" t="str">
        <x:v>周</x:v>
      </x:c>
      <x:c r="H346" s="27" t="str">
        <x:v>%</x:v>
      </x:c>
      <x:c r="I346" s="27" t="str">
        <x:v>当期环比</x:v>
      </x:c>
      <x:c r="J346" s="27" t="str">
        <x:v>中国大陆</x:v>
      </x:c>
      <x:c r="K346" s="27" t="str">
        <x:v>中国</x:v>
      </x:c>
      <x:c r="L346" s="28" t="str">
        <x:v>中国公路物流运价指数</x:v>
      </x:c>
      <x:c r="M346" s="28" t="str">
        <x:v>getEcoDataIndTraffictransport</x:v>
      </x:c>
      <x:c r="N346" s="27" t="str">
        <x:v>2013-01-02</x:v>
      </x:c>
      <x:c r="O346" s="27" t="str">
        <x:v>2026-08-05</x:v>
      </x:c>
      <x:c r="P346" s="27" t="str">
        <x:v>持续更新</x:v>
      </x:c>
      <x:c r="Q346" s="27" t="str"/>
      <x:c r="R346" s="28" t="str"/>
    </x:row>
    <x:row r="347" ht="48" customHeight="1">
      <x:c r="A347" s="27" t="str">
        <x:v>801170</x:v>
      </x:c>
      <x:c r="B347" s="27" t="str">
        <x:v>交通运输</x:v>
      </x:c>
      <x:c r="C347" s="27" t="n">
        <x:v>16</x:v>
      </x:c>
      <x:c r="D347" s="27" t="str">
        <x:v>2160004306</x:v>
      </x:c>
      <x:c r="E347" s="28" t="str">
        <x:v>中国公路物流运价指数:华北:周环比</x:v>
      </x:c>
      <x:c r="F347" s="28" t="str">
        <x:v>Logistics Area Index: North China: WoW</x:v>
      </x:c>
      <x:c r="G347" s="27" t="str">
        <x:v>周</x:v>
      </x:c>
      <x:c r="H347" s="27" t="str">
        <x:v>%</x:v>
      </x:c>
      <x:c r="I347" s="27" t="str">
        <x:v>当期环比</x:v>
      </x:c>
      <x:c r="J347" s="27" t="str">
        <x:v>中国大陆</x:v>
      </x:c>
      <x:c r="K347" s="27" t="str">
        <x:v>中国</x:v>
      </x:c>
      <x:c r="L347" s="28" t="str">
        <x:v>中国公路物流运价指数</x:v>
      </x:c>
      <x:c r="M347" s="28" t="str">
        <x:v>getEcoDataIndTraffictransport</x:v>
      </x:c>
      <x:c r="N347" s="27" t="str">
        <x:v>2013-01-02</x:v>
      </x:c>
      <x:c r="O347" s="27" t="str">
        <x:v>2026-08-05</x:v>
      </x:c>
      <x:c r="P347" s="27" t="str">
        <x:v>持续更新</x:v>
      </x:c>
      <x:c r="Q347" s="27" t="str"/>
      <x:c r="R347" s="28" t="str"/>
    </x:row>
    <x:row r="348" ht="48" customHeight="1">
      <x:c r="A348" s="27" t="str">
        <x:v>801170</x:v>
      </x:c>
      <x:c r="B348" s="27" t="str">
        <x:v>交通运输</x:v>
      </x:c>
      <x:c r="C348" s="27" t="n">
        <x:v>17</x:v>
      </x:c>
      <x:c r="D348" s="27" t="str">
        <x:v>2160004825</x:v>
      </x:c>
      <x:c r="E348" s="28" t="str">
        <x:v>中国公路物流运价指数:呼和浩特-拉萨:周环比</x:v>
      </x:c>
      <x:c r="F348" s="28" t="str">
        <x:v>Transportation Route Index: Hohhot-Lhasa: WoW</x:v>
      </x:c>
      <x:c r="G348" s="27" t="str">
        <x:v>周</x:v>
      </x:c>
      <x:c r="H348" s="27" t="str">
        <x:v>%</x:v>
      </x:c>
      <x:c r="I348" s="27" t="str">
        <x:v>当期环比</x:v>
      </x:c>
      <x:c r="J348" s="27" t="str">
        <x:v>中国大陆</x:v>
      </x:c>
      <x:c r="K348" s="27" t="str">
        <x:v>中国</x:v>
      </x:c>
      <x:c r="L348" s="28" t="str">
        <x:v>中国公路物流运价指数</x:v>
      </x:c>
      <x:c r="M348" s="28" t="str">
        <x:v>getEcoDataIndTraffictransport</x:v>
      </x:c>
      <x:c r="N348" s="27" t="str">
        <x:v>2013-01-02</x:v>
      </x:c>
      <x:c r="O348" s="27" t="str">
        <x:v>2026-08-05</x:v>
      </x:c>
      <x:c r="P348" s="27" t="str">
        <x:v>持续更新</x:v>
      </x:c>
      <x:c r="Q348" s="27" t="str"/>
      <x:c r="R348" s="28" t="str"/>
    </x:row>
    <x:row r="349" ht="48" customHeight="1">
      <x:c r="A349" s="27" t="str">
        <x:v>801170</x:v>
      </x:c>
      <x:c r="B349" s="27" t="str">
        <x:v>交通运输</x:v>
      </x:c>
      <x:c r="C349" s="27" t="n">
        <x:v>18</x:v>
      </x:c>
      <x:c r="D349" s="27" t="str">
        <x:v>2160004812</x:v>
      </x:c>
      <x:c r="E349" s="28" t="str">
        <x:v>中国公路物流运价指数:呼和浩特-石家庄:周环比</x:v>
      </x:c>
      <x:c r="F349" s="28" t="str">
        <x:v>Transportation Route Index: Hohhot-Shijiazhuang: WoW</x:v>
      </x:c>
      <x:c r="G349" s="27" t="str">
        <x:v>周</x:v>
      </x:c>
      <x:c r="H349" s="27" t="str">
        <x:v>%</x:v>
      </x:c>
      <x:c r="I349" s="27" t="str">
        <x:v>当期环比</x:v>
      </x:c>
      <x:c r="J349" s="27" t="str">
        <x:v>中国大陆</x:v>
      </x:c>
      <x:c r="K349" s="27" t="str">
        <x:v>中国</x:v>
      </x:c>
      <x:c r="L349" s="28" t="str">
        <x:v>中国公路物流运价指数</x:v>
      </x:c>
      <x:c r="M349" s="28" t="str">
        <x:v>getEcoDataIndTraffictransport</x:v>
      </x:c>
      <x:c r="N349" s="27" t="str">
        <x:v>2013-01-02</x:v>
      </x:c>
      <x:c r="O349" s="27" t="str">
        <x:v>2026-08-05</x:v>
      </x:c>
      <x:c r="P349" s="27" t="str">
        <x:v>持续更新</x:v>
      </x:c>
      <x:c r="Q349" s="27" t="str"/>
      <x:c r="R349" s="28" t="str"/>
    </x:row>
    <x:row r="350" ht="48" customHeight="1">
      <x:c r="A350" s="27" t="str">
        <x:v>801170</x:v>
      </x:c>
      <x:c r="B350" s="27" t="str">
        <x:v>交通运输</x:v>
      </x:c>
      <x:c r="C350" s="27" t="n">
        <x:v>19</x:v>
      </x:c>
      <x:c r="D350" s="27" t="str">
        <x:v>2160005438</x:v>
      </x:c>
      <x:c r="E350" s="28" t="str">
        <x:v>中国公路物流运价指数:拉萨-呼和浩特:周环比</x:v>
      </x:c>
      <x:c r="F350" s="28" t="str">
        <x:v>Transportation Route Index: Lhasa-Hohhot: WoW</x:v>
      </x:c>
      <x:c r="G350" s="27" t="str">
        <x:v>周</x:v>
      </x:c>
      <x:c r="H350" s="27" t="str">
        <x:v>%</x:v>
      </x:c>
      <x:c r="I350" s="27" t="str">
        <x:v>当期环比</x:v>
      </x:c>
      <x:c r="J350" s="27" t="str">
        <x:v>中国大陆</x:v>
      </x:c>
      <x:c r="K350" s="27" t="str">
        <x:v>中国</x:v>
      </x:c>
      <x:c r="L350" s="28" t="str">
        <x:v>中国公路物流运价指数</x:v>
      </x:c>
      <x:c r="M350" s="28" t="str">
        <x:v>getEcoDataIndTraffictransport</x:v>
      </x:c>
      <x:c r="N350" s="27" t="str">
        <x:v>2013-01-02</x:v>
      </x:c>
      <x:c r="O350" s="27" t="str">
        <x:v>2026-08-05</x:v>
      </x:c>
      <x:c r="P350" s="27" t="str">
        <x:v>持续更新</x:v>
      </x:c>
      <x:c r="Q350" s="27" t="str"/>
      <x:c r="R350" s="28" t="str"/>
    </x:row>
    <x:row r="351" ht="48" customHeight="1">
      <x:c r="A351" s="27" t="str">
        <x:v>801170</x:v>
      </x:c>
      <x:c r="B351" s="27" t="str">
        <x:v>交通运输</x:v>
      </x:c>
      <x:c r="C351" s="27" t="n">
        <x:v>20</x:v>
      </x:c>
      <x:c r="D351" s="27" t="str">
        <x:v>2160005442</x:v>
      </x:c>
      <x:c r="E351" s="28" t="str">
        <x:v>中国公路物流运价指数:拉萨-石家庄:周环比</x:v>
      </x:c>
      <x:c r="F351" s="28" t="str">
        <x:v>Transportation Route Index: Lhasa-Shijiazhuang: WoW</x:v>
      </x:c>
      <x:c r="G351" s="27" t="str">
        <x:v>周</x:v>
      </x:c>
      <x:c r="H351" s="27" t="str">
        <x:v>%</x:v>
      </x:c>
      <x:c r="I351" s="27" t="str">
        <x:v>当期环比</x:v>
      </x:c>
      <x:c r="J351" s="27" t="str">
        <x:v>中国大陆</x:v>
      </x:c>
      <x:c r="K351" s="27" t="str">
        <x:v>中国</x:v>
      </x:c>
      <x:c r="L351" s="28" t="str">
        <x:v>中国公路物流运价指数</x:v>
      </x:c>
      <x:c r="M351" s="28" t="str">
        <x:v>getEcoDataIndTraffictransport</x:v>
      </x:c>
      <x:c r="N351" s="27" t="str">
        <x:v>2013-01-02</x:v>
      </x:c>
      <x:c r="O351" s="27" t="str">
        <x:v>2026-08-05</x:v>
      </x:c>
      <x:c r="P351" s="27" t="str">
        <x:v>持续更新</x:v>
      </x:c>
      <x:c r="Q351" s="27" t="str"/>
      <x:c r="R351" s="28" t="str"/>
    </x:row>
    <x:row r="352" ht="48" customHeight="1">
      <x:c r="A352" s="27" t="str">
        <x:v>801170</x:v>
      </x:c>
      <x:c r="B352" s="27" t="str">
        <x:v>交通运输</x:v>
      </x:c>
      <x:c r="C352" s="27" t="n">
        <x:v>21</x:v>
      </x:c>
      <x:c r="D352" s="27" t="str">
        <x:v>2160004314</x:v>
      </x:c>
      <x:c r="E352" s="28" t="str">
        <x:v>中国公路物流运价指数:珠三角:周环比</x:v>
      </x:c>
      <x:c r="F352" s="28" t="str">
        <x:v>Logistics Area Index: Pearl River Delta: WoW</x:v>
      </x:c>
      <x:c r="G352" s="27" t="str">
        <x:v>周</x:v>
      </x:c>
      <x:c r="H352" s="27" t="str">
        <x:v>%</x:v>
      </x:c>
      <x:c r="I352" s="27" t="str">
        <x:v>当期环比</x:v>
      </x:c>
      <x:c r="J352" s="27" t="str">
        <x:v>中国大陆</x:v>
      </x:c>
      <x:c r="K352" s="27" t="str">
        <x:v>中国</x:v>
      </x:c>
      <x:c r="L352" s="28" t="str">
        <x:v>中国公路物流运价指数</x:v>
      </x:c>
      <x:c r="M352" s="28" t="str">
        <x:v>getEcoDataIndTraffictransport</x:v>
      </x:c>
      <x:c r="N352" s="27" t="str">
        <x:v>2013-01-02</x:v>
      </x:c>
      <x:c r="O352" s="27" t="str">
        <x:v>2026-08-05</x:v>
      </x:c>
      <x:c r="P352" s="27" t="str">
        <x:v>持续更新</x:v>
      </x:c>
      <x:c r="Q352" s="27" t="str"/>
      <x:c r="R352" s="28" t="str"/>
    </x:row>
    <x:row r="353" ht="48" customHeight="1">
      <x:c r="A353" s="27" t="str">
        <x:v>801170</x:v>
      </x:c>
      <x:c r="B353" s="27" t="str">
        <x:v>交通运输</x:v>
      </x:c>
      <x:c r="C353" s="27" t="n">
        <x:v>22</x:v>
      </x:c>
      <x:c r="D353" s="27" t="str">
        <x:v>2160004957</x:v>
      </x:c>
      <x:c r="E353" s="28" t="str">
        <x:v>中国公路物流运价指数:石家庄-呼和浩特:周环比</x:v>
      </x:c>
      <x:c r="F353" s="28" t="str">
        <x:v>Transportation Route Index: Shijiazhuang-Hohhot: WoW</x:v>
      </x:c>
      <x:c r="G353" s="27" t="str">
        <x:v>周</x:v>
      </x:c>
      <x:c r="H353" s="27" t="str">
        <x:v>%</x:v>
      </x:c>
      <x:c r="I353" s="27" t="str">
        <x:v>当期环比</x:v>
      </x:c>
      <x:c r="J353" s="27" t="str">
        <x:v>中国大陆</x:v>
      </x:c>
      <x:c r="K353" s="27" t="str">
        <x:v>中国</x:v>
      </x:c>
      <x:c r="L353" s="28" t="str">
        <x:v>中国公路物流运价指数</x:v>
      </x:c>
      <x:c r="M353" s="28" t="str">
        <x:v>getEcoDataIndTraffictransport</x:v>
      </x:c>
      <x:c r="N353" s="27" t="str">
        <x:v>2013-01-02</x:v>
      </x:c>
      <x:c r="O353" s="27" t="str">
        <x:v>2026-08-05</x:v>
      </x:c>
      <x:c r="P353" s="27" t="str">
        <x:v>持续更新</x:v>
      </x:c>
      <x:c r="Q353" s="27" t="str"/>
      <x:c r="R353" s="28" t="str"/>
    </x:row>
    <x:row r="354" ht="48" customHeight="1">
      <x:c r="A354" s="27" t="str">
        <x:v>801170</x:v>
      </x:c>
      <x:c r="B354" s="27" t="str">
        <x:v>交通运输</x:v>
      </x:c>
      <x:c r="C354" s="27" t="n">
        <x:v>23</x:v>
      </x:c>
      <x:c r="D354" s="27" t="str">
        <x:v>2160004973</x:v>
      </x:c>
      <x:c r="E354" s="28" t="str">
        <x:v>中国公路物流运价指数:石家庄-拉萨:周环比</x:v>
      </x:c>
      <x:c r="F354" s="28" t="str">
        <x:v>Transportation Route Index: Shijiazhuang-Lhasa: WoW</x:v>
      </x:c>
      <x:c r="G354" s="27" t="str">
        <x:v>周</x:v>
      </x:c>
      <x:c r="H354" s="27" t="str">
        <x:v>%</x:v>
      </x:c>
      <x:c r="I354" s="27" t="str">
        <x:v>当期环比</x:v>
      </x:c>
      <x:c r="J354" s="27" t="str">
        <x:v>中国大陆</x:v>
      </x:c>
      <x:c r="K354" s="27" t="str">
        <x:v>中国</x:v>
      </x:c>
      <x:c r="L354" s="28" t="str">
        <x:v>中国公路物流运价指数</x:v>
      </x:c>
      <x:c r="M354" s="28" t="str">
        <x:v>getEcoDataIndTraffictransport</x:v>
      </x:c>
      <x:c r="N354" s="27" t="str">
        <x:v>2013-01-02</x:v>
      </x:c>
      <x:c r="O354" s="27" t="str">
        <x:v>2026-08-05</x:v>
      </x:c>
      <x:c r="P354" s="27" t="str">
        <x:v>持续更新</x:v>
      </x:c>
      <x:c r="Q354" s="27" t="str"/>
      <x:c r="R354" s="28" t="str"/>
    </x:row>
    <x:row r="355" ht="48" customHeight="1">
      <x:c r="A355" s="27" t="str">
        <x:v>801170</x:v>
      </x:c>
      <x:c r="B355" s="27" t="str">
        <x:v>交通运输</x:v>
      </x:c>
      <x:c r="C355" s="27" t="n">
        <x:v>24</x:v>
      </x:c>
      <x:c r="D355" s="27" t="str">
        <x:v>2160004311</x:v>
      </x:c>
      <x:c r="E355" s="28" t="str">
        <x:v>中国公路物流运价指数:西北:周环比</x:v>
      </x:c>
      <x:c r="F355" s="28" t="str">
        <x:v>Logistics Area Index: Northwest China: WoW</x:v>
      </x:c>
      <x:c r="G355" s="27" t="str">
        <x:v>周</x:v>
      </x:c>
      <x:c r="H355" s="27" t="str">
        <x:v>%</x:v>
      </x:c>
      <x:c r="I355" s="27" t="str">
        <x:v>当期环比</x:v>
      </x:c>
      <x:c r="J355" s="27" t="str">
        <x:v>中国大陆</x:v>
      </x:c>
      <x:c r="K355" s="27" t="str">
        <x:v>中国</x:v>
      </x:c>
      <x:c r="L355" s="28" t="str">
        <x:v>中国公路物流运价指数</x:v>
      </x:c>
      <x:c r="M355" s="28" t="str">
        <x:v>getEcoDataIndTraffictransport</x:v>
      </x:c>
      <x:c r="N355" s="27" t="str">
        <x:v>2013-01-02</x:v>
      </x:c>
      <x:c r="O355" s="27" t="str">
        <x:v>2026-08-05</x:v>
      </x:c>
      <x:c r="P355" s="27" t="str">
        <x:v>持续更新</x:v>
      </x:c>
      <x:c r="Q355" s="27" t="str"/>
      <x:c r="R355" s="28" t="str"/>
    </x:row>
    <x:row r="356" ht="48" customHeight="1">
      <x:c r="A356" s="27" t="str">
        <x:v>801170</x:v>
      </x:c>
      <x:c r="B356" s="27" t="str">
        <x:v>交通运输</x:v>
      </x:c>
      <x:c r="C356" s="27" t="n">
        <x:v>25</x:v>
      </x:c>
      <x:c r="D356" s="27" t="str">
        <x:v>2160004312</x:v>
      </x:c>
      <x:c r="E356" s="28" t="str">
        <x:v>中国公路物流运价指数:西南:周环比</x:v>
      </x:c>
      <x:c r="F356" s="28" t="str">
        <x:v>Logistics Area Index: Southwest China: WoW</x:v>
      </x:c>
      <x:c r="G356" s="27" t="str">
        <x:v>周</x:v>
      </x:c>
      <x:c r="H356" s="27" t="str">
        <x:v>%</x:v>
      </x:c>
      <x:c r="I356" s="27" t="str">
        <x:v>当期环比</x:v>
      </x:c>
      <x:c r="J356" s="27" t="str">
        <x:v>中国大陆</x:v>
      </x:c>
      <x:c r="K356" s="27" t="str">
        <x:v>中国</x:v>
      </x:c>
      <x:c r="L356" s="28" t="str">
        <x:v>中国公路物流运价指数</x:v>
      </x:c>
      <x:c r="M356" s="28" t="str">
        <x:v>getEcoDataIndTraffictransport</x:v>
      </x:c>
      <x:c r="N356" s="27" t="str">
        <x:v>2013-01-02</x:v>
      </x:c>
      <x:c r="O356" s="27" t="str">
        <x:v>2026-08-05</x:v>
      </x:c>
      <x:c r="P356" s="27" t="str">
        <x:v>持续更新</x:v>
      </x:c>
      <x:c r="Q356" s="27" t="str"/>
      <x:c r="R356" s="28" t="str"/>
    </x:row>
    <x:row r="357" ht="48" customHeight="1">
      <x:c r="A357" s="27" t="str">
        <x:v>801170</x:v>
      </x:c>
      <x:c r="B357" s="27" t="str">
        <x:v>交通运输</x:v>
      </x:c>
      <x:c r="C357" s="27" t="n">
        <x:v>26</x:v>
      </x:c>
      <x:c r="D357" s="27" t="str">
        <x:v>2160004309</x:v>
      </x:c>
      <x:c r="E357" s="28" t="str">
        <x:v>中国公路物流运价指数:长三角:周环比</x:v>
      </x:c>
      <x:c r="F357" s="28" t="str">
        <x:v>Logistics Area Index: Yangtze River Delta: WoW</x:v>
      </x:c>
      <x:c r="G357" s="27" t="str">
        <x:v>周</x:v>
      </x:c>
      <x:c r="H357" s="27" t="str">
        <x:v>%</x:v>
      </x:c>
      <x:c r="I357" s="27" t="str">
        <x:v>当期环比</x:v>
      </x:c>
      <x:c r="J357" s="27" t="str">
        <x:v>中国大陆</x:v>
      </x:c>
      <x:c r="K357" s="27" t="str">
        <x:v>中国</x:v>
      </x:c>
      <x:c r="L357" s="28" t="str">
        <x:v>中国公路物流运价指数</x:v>
      </x:c>
      <x:c r="M357" s="28" t="str">
        <x:v>getEcoDataIndTraffictransport</x:v>
      </x:c>
      <x:c r="N357" s="27" t="str">
        <x:v>2013-01-02</x:v>
      </x:c>
      <x:c r="O357" s="27" t="str">
        <x:v>2026-08-05</x:v>
      </x:c>
      <x:c r="P357" s="27" t="str">
        <x:v>持续更新</x:v>
      </x:c>
      <x:c r="Q357" s="27" t="str"/>
      <x:c r="R357" s="28" t="str"/>
    </x:row>
    <x:row r="358" ht="48" customHeight="1">
      <x:c r="A358" s="27" t="str">
        <x:v>801170</x:v>
      </x:c>
      <x:c r="B358" s="27" t="str">
        <x:v>交通运输</x:v>
      </x:c>
      <x:c r="C358" s="27" t="n">
        <x:v>27</x:v>
      </x:c>
      <x:c r="D358" s="27" t="str">
        <x:v>2160606442</x:v>
      </x:c>
      <x:c r="E358" s="28" t="str">
        <x:v>北方国际煤运价指数(TBCI)</x:v>
      </x:c>
      <x:c r="F358" s="28" t="str">
        <x:v>Tianjin Bulk Coal Freight Index (TBCI)</x:v>
      </x:c>
      <x:c r="G358" s="27" t="str">
        <x:v>日</x:v>
      </x:c>
      <x:c r="H358" s="27" t="str">
        <x:v>点</x:v>
      </x:c>
      <x:c r="I358" s="27" t="str">
        <x:v>当期值</x:v>
      </x:c>
      <x:c r="J358" s="27" t="str">
        <x:v>全国</x:v>
      </x:c>
      <x:c r="K358" s="27" t="str">
        <x:v>中国</x:v>
      </x:c>
      <x:c r="L358" s="28" t="str">
        <x:v>天津国际贸易与航运服务中心</x:v>
      </x:c>
      <x:c r="M358" s="28" t="str">
        <x:v>getEcoDataIndTraffictransport</x:v>
      </x:c>
      <x:c r="N358" s="27" t="str">
        <x:v>2014-08-28</x:v>
      </x:c>
      <x:c r="O358" s="27" t="str">
        <x:v>2026-08-07</x:v>
      </x:c>
      <x:c r="P358" s="27" t="str">
        <x:v>持续更新</x:v>
      </x:c>
      <x:c r="Q358" s="27" t="str"/>
      <x:c r="R358" s="28" t="str"/>
    </x:row>
    <x:row r="359" ht="48" customHeight="1">
      <x:c r="A359" s="27" t="str">
        <x:v>801170</x:v>
      </x:c>
      <x:c r="B359" s="27" t="str">
        <x:v>交通运输</x:v>
      </x:c>
      <x:c r="C359" s="27" t="n">
        <x:v>28</x:v>
      </x:c>
      <x:c r="D359" s="27" t="str">
        <x:v>2160606445</x:v>
      </x:c>
      <x:c r="E359" s="28" t="str">
        <x:v>北方国际粮食运价指数(TBGI)</x:v>
      </x:c>
      <x:c r="F359" s="28" t="str">
        <x:v>Tianjin Bulk Grain Freight Index (TBGI)</x:v>
      </x:c>
      <x:c r="G359" s="27" t="str">
        <x:v>日</x:v>
      </x:c>
      <x:c r="H359" s="27" t="str">
        <x:v>点</x:v>
      </x:c>
      <x:c r="I359" s="27" t="str">
        <x:v>当期值</x:v>
      </x:c>
      <x:c r="J359" s="27" t="str">
        <x:v>全国</x:v>
      </x:c>
      <x:c r="K359" s="27" t="str">
        <x:v>中国</x:v>
      </x:c>
      <x:c r="L359" s="28" t="str">
        <x:v>天津国际贸易与航运服务中心</x:v>
      </x:c>
      <x:c r="M359" s="28" t="str">
        <x:v>getEcoDataIndTraffictransport</x:v>
      </x:c>
      <x:c r="N359" s="27" t="str">
        <x:v>2014-08-28</x:v>
      </x:c>
      <x:c r="O359" s="27" t="str">
        <x:v>2026-08-07</x:v>
      </x:c>
      <x:c r="P359" s="27" t="str">
        <x:v>持续更新</x:v>
      </x:c>
      <x:c r="Q359" s="27" t="str"/>
      <x:c r="R359" s="28" t="str"/>
    </x:row>
    <x:row r="360" ht="48" customHeight="1">
      <x:c r="A360" s="27" t="str">
        <x:v>801170</x:v>
      </x:c>
      <x:c r="B360" s="27" t="str">
        <x:v>交通运输</x:v>
      </x:c>
      <x:c r="C360" s="27" t="n">
        <x:v>29</x:v>
      </x:c>
      <x:c r="D360" s="27" t="str">
        <x:v>2160606447</x:v>
      </x:c>
      <x:c r="E360" s="28" t="str">
        <x:v>北方国际粮食运价指数(TBGI):南美东岸(桑托斯)-天津(大豆)</x:v>
      </x:c>
      <x:c r="F360" s="28" t="str">
        <x:v>Tianjin Bulk Grain Freight Index (TBGI): Santos (East Coast of South America)-Tianjin (China) (Soybean)</x:v>
      </x:c>
      <x:c r="G360" s="27" t="str">
        <x:v>日</x:v>
      </x:c>
      <x:c r="H360" s="27" t="str">
        <x:v>点</x:v>
      </x:c>
      <x:c r="I360" s="27" t="str">
        <x:v>当期值</x:v>
      </x:c>
      <x:c r="J360" s="27" t="str">
        <x:v>全国</x:v>
      </x:c>
      <x:c r="K360" s="27" t="str">
        <x:v>中国</x:v>
      </x:c>
      <x:c r="L360" s="28" t="str">
        <x:v>天津国际贸易与航运服务中心</x:v>
      </x:c>
      <x:c r="M360" s="28" t="str">
        <x:v>getEcoDataIndTraffictransport</x:v>
      </x:c>
      <x:c r="N360" s="27" t="str">
        <x:v>2016-02-05</x:v>
      </x:c>
      <x:c r="O360" s="27" t="str">
        <x:v>2026-08-07</x:v>
      </x:c>
      <x:c r="P360" s="27" t="str">
        <x:v>持续更新</x:v>
      </x:c>
      <x:c r="Q360" s="27" t="str"/>
      <x:c r="R360" s="28" t="str"/>
    </x:row>
    <x:row r="361" ht="48" customHeight="1">
      <x:c r="A361" s="27" t="str">
        <x:v>801170</x:v>
      </x:c>
      <x:c r="B361" s="27" t="str">
        <x:v>交通运输</x:v>
      </x:c>
      <x:c r="C361" s="27" t="n">
        <x:v>30</x:v>
      </x:c>
      <x:c r="D361" s="27" t="str">
        <x:v>2160606446</x:v>
      </x:c>
      <x:c r="E361" s="28" t="str">
        <x:v>北方国际粮食运价指数(TBGI):美湾-天津(大豆)</x:v>
      </x:c>
      <x:c r="F361" s="28" t="str">
        <x:v>Tianjin Bulk Grain Freight Index (TBGI): US Gulf-Tianjin (China) (Soybean)</x:v>
      </x:c>
      <x:c r="G361" s="27" t="str">
        <x:v>日</x:v>
      </x:c>
      <x:c r="H361" s="27" t="str">
        <x:v>点</x:v>
      </x:c>
      <x:c r="I361" s="27" t="str">
        <x:v>当期值</x:v>
      </x:c>
      <x:c r="J361" s="27" t="str">
        <x:v>全国</x:v>
      </x:c>
      <x:c r="K361" s="27" t="str">
        <x:v>中国</x:v>
      </x:c>
      <x:c r="L361" s="28" t="str">
        <x:v>天津国际贸易与航运服务中心</x:v>
      </x:c>
      <x:c r="M361" s="28" t="str">
        <x:v>getEcoDataIndTraffictransport</x:v>
      </x:c>
      <x:c r="N361" s="27" t="str">
        <x:v>2014-08-28</x:v>
      </x:c>
      <x:c r="O361" s="27" t="str">
        <x:v>2026-08-07</x:v>
      </x:c>
      <x:c r="P361" s="27" t="str">
        <x:v>持续更新</x:v>
      </x:c>
      <x:c r="Q361" s="27" t="str"/>
      <x:c r="R361" s="28" t="str"/>
    </x:row>
    <x:row r="362" ht="48" customHeight="1">
      <x:c r="A362" s="27" t="str">
        <x:v>801180</x:v>
      </x:c>
      <x:c r="B362" s="27" t="str">
        <x:v>房地产</x:v>
      </x:c>
      <x:c r="C362" s="27" t="n">
        <x:v>1</x:v>
      </x:c>
      <x:c r="D362" s="27" t="str">
        <x:v>2170742175</x:v>
      </x:c>
      <x:c r="E362" s="28" t="str">
        <x:v>商品房竣工面积:住宅:当月同比</x:v>
      </x:c>
      <x:c r="F362" s="28" t="str">
        <x:v>Floor Area Completed of Commodity Housing: Household: Month YoY</x:v>
      </x:c>
      <x:c r="G362" s="27" t="str">
        <x:v>月</x:v>
      </x:c>
      <x:c r="H362" s="27" t="str">
        <x:v>%</x:v>
      </x:c>
      <x:c r="I362" s="27" t="str">
        <x:v>当期同比</x:v>
      </x:c>
      <x:c r="J362" s="27" t="str">
        <x:v>全国</x:v>
      </x:c>
      <x:c r="K362" s="27" t="str">
        <x:v>中国</x:v>
      </x:c>
      <x:c r="L362" s="28" t="str">
        <x:v>国家统计局</x:v>
      </x:c>
      <x:c r="M362" s="28" t="str">
        <x:v>getEcoDataIndRealestate</x:v>
      </x:c>
      <x:c r="N362" s="27" t="str">
        <x:v>1999-08-31</x:v>
      </x:c>
      <x:c r="O362" s="27" t="str">
        <x:v>2026-06-30</x:v>
      </x:c>
      <x:c r="P362" s="27" t="str">
        <x:v>持续更新</x:v>
      </x:c>
      <x:c r="Q362" s="27" t="str"/>
      <x:c r="R362" s="28" t="str"/>
    </x:row>
    <x:row r="363" ht="48" customHeight="1">
      <x:c r="A363" s="27" t="str">
        <x:v>801180</x:v>
      </x:c>
      <x:c r="B363" s="27" t="str">
        <x:v>房地产</x:v>
      </x:c>
      <x:c r="C363" s="27" t="n">
        <x:v>2</x:v>
      </x:c>
      <x:c r="D363" s="27" t="str">
        <x:v>2170742191</x:v>
      </x:c>
      <x:c r="E363" s="28" t="str">
        <x:v>商品房销售面积:住宅:当月同比</x:v>
      </x:c>
      <x:c r="F363" s="28" t="str">
        <x:v>Sales Area of Commercial Housing: Residential: Current Value (Month): YoY</x:v>
      </x:c>
      <x:c r="G363" s="27" t="str">
        <x:v>月</x:v>
      </x:c>
      <x:c r="H363" s="27" t="str">
        <x:v>%</x:v>
      </x:c>
      <x:c r="I363" s="27" t="str">
        <x:v>当期同比</x:v>
      </x:c>
      <x:c r="J363" s="27" t="str">
        <x:v>全国</x:v>
      </x:c>
      <x:c r="K363" s="27" t="str">
        <x:v>中国</x:v>
      </x:c>
      <x:c r="L363" s="28" t="str">
        <x:v>国家统计局</x:v>
      </x:c>
      <x:c r="M363" s="28" t="str">
        <x:v>getEcoDataIndRealestate</x:v>
      </x:c>
      <x:c r="N363" s="27" t="str">
        <x:v>1999-08-31</x:v>
      </x:c>
      <x:c r="O363" s="27" t="str">
        <x:v>2026-06-30</x:v>
      </x:c>
      <x:c r="P363" s="27" t="str">
        <x:v>持续更新</x:v>
      </x:c>
      <x:c r="Q363" s="27" t="str"/>
      <x:c r="R363" s="28" t="str"/>
    </x:row>
    <x:row r="364" ht="48" customHeight="1">
      <x:c r="A364" s="27" t="str">
        <x:v>801180</x:v>
      </x:c>
      <x:c r="B364" s="27" t="str">
        <x:v>房地产</x:v>
      </x:c>
      <x:c r="C364" s="27" t="n">
        <x:v>3</x:v>
      </x:c>
      <x:c r="D364" s="27" t="str">
        <x:v>2170925026</x:v>
      </x:c>
      <x:c r="E364" s="28" t="str">
        <x:v>房地产开发投资:住宅:东部地区:当月同比</x:v>
      </x:c>
      <x:c r="F364" s="28" t="str">
        <x:v>Real Estate Investment: Residential: East Area: Month YoY</x:v>
      </x:c>
      <x:c r="G364" s="27" t="str">
        <x:v>月</x:v>
      </x:c>
      <x:c r="H364" s="27" t="str">
        <x:v>%</x:v>
      </x:c>
      <x:c r="I364" s="27" t="str">
        <x:v>当期同比</x:v>
      </x:c>
      <x:c r="J364" s="27" t="str">
        <x:v>全国</x:v>
      </x:c>
      <x:c r="K364" s="27" t="str">
        <x:v>中国</x:v>
      </x:c>
      <x:c r="L364" s="28" t="str">
        <x:v>国家统计局</x:v>
      </x:c>
      <x:c r="M364" s="28" t="str">
        <x:v>getEcoDataIndRealestate</x:v>
      </x:c>
      <x:c r="N364" s="27" t="str">
        <x:v>2004-03-31</x:v>
      </x:c>
      <x:c r="O364" s="27" t="str">
        <x:v>2026-06-30</x:v>
      </x:c>
      <x:c r="P364" s="27" t="str">
        <x:v>持续更新</x:v>
      </x:c>
      <x:c r="Q364" s="27" t="str"/>
      <x:c r="R364" s="28" t="str"/>
    </x:row>
    <x:row r="365" ht="48" customHeight="1">
      <x:c r="A365" s="27" t="str">
        <x:v>801180</x:v>
      </x:c>
      <x:c r="B365" s="27" t="str">
        <x:v>房地产</x:v>
      </x:c>
      <x:c r="C365" s="27" t="n">
        <x:v>4</x:v>
      </x:c>
      <x:c r="D365" s="27" t="str">
        <x:v>2170925022</x:v>
      </x:c>
      <x:c r="E365" s="28" t="str">
        <x:v>房地产开发投资:住宅:中部地区:当月同比</x:v>
      </x:c>
      <x:c r="F365" s="28" t="str">
        <x:v>Real Estate Investment: Residential: Central Area: Month YoY</x:v>
      </x:c>
      <x:c r="G365" s="27" t="str">
        <x:v>月</x:v>
      </x:c>
      <x:c r="H365" s="27" t="str">
        <x:v>%</x:v>
      </x:c>
      <x:c r="I365" s="27" t="str">
        <x:v>当期同比</x:v>
      </x:c>
      <x:c r="J365" s="27" t="str">
        <x:v>全国</x:v>
      </x:c>
      <x:c r="K365" s="27" t="str">
        <x:v>中国</x:v>
      </x:c>
      <x:c r="L365" s="28" t="str">
        <x:v>国家统计局</x:v>
      </x:c>
      <x:c r="M365" s="28" t="str">
        <x:v>getEcoDataIndRealestate</x:v>
      </x:c>
      <x:c r="N365" s="27" t="str">
        <x:v>2004-03-31</x:v>
      </x:c>
      <x:c r="O365" s="27" t="str">
        <x:v>2026-06-30</x:v>
      </x:c>
      <x:c r="P365" s="27" t="str">
        <x:v>持续更新</x:v>
      </x:c>
      <x:c r="Q365" s="27" t="str"/>
      <x:c r="R365" s="28" t="str"/>
    </x:row>
    <x:row r="366" ht="48" customHeight="1">
      <x:c r="A366" s="27" t="str">
        <x:v>801180</x:v>
      </x:c>
      <x:c r="B366" s="27" t="str">
        <x:v>房地产</x:v>
      </x:c>
      <x:c r="C366" s="27" t="n">
        <x:v>5</x:v>
      </x:c>
      <x:c r="D366" s="27" t="str">
        <x:v>2170742151</x:v>
      </x:c>
      <x:c r="E366" s="28" t="str">
        <x:v>房地产开发投资:住宅:当月同比</x:v>
      </x:c>
      <x:c r="F366" s="28" t="str">
        <x:v>Real Estate Development Investment: Residential: Month YoY</x:v>
      </x:c>
      <x:c r="G366" s="27" t="str">
        <x:v>月</x:v>
      </x:c>
      <x:c r="H366" s="27" t="str">
        <x:v>%</x:v>
      </x:c>
      <x:c r="I366" s="27" t="str">
        <x:v>当期同比</x:v>
      </x:c>
      <x:c r="J366" s="27" t="str">
        <x:v>全国</x:v>
      </x:c>
      <x:c r="K366" s="27" t="str">
        <x:v>中国</x:v>
      </x:c>
      <x:c r="L366" s="28" t="str">
        <x:v>国家统计局</x:v>
      </x:c>
      <x:c r="M366" s="28" t="str">
        <x:v>getEcoDataIndRealestate</x:v>
      </x:c>
      <x:c r="N366" s="27" t="str">
        <x:v>1999-03-31</x:v>
      </x:c>
      <x:c r="O366" s="27" t="str">
        <x:v>2026-06-30</x:v>
      </x:c>
      <x:c r="P366" s="27" t="str">
        <x:v>持续更新</x:v>
      </x:c>
      <x:c r="Q366" s="27" t="str"/>
      <x:c r="R366" s="28" t="str"/>
    </x:row>
    <x:row r="367" ht="48" customHeight="1">
      <x:c r="A367" s="27" t="str">
        <x:v>801180</x:v>
      </x:c>
      <x:c r="B367" s="27" t="str">
        <x:v>房地产</x:v>
      </x:c>
      <x:c r="C367" s="27" t="n">
        <x:v>6</x:v>
      </x:c>
      <x:c r="D367" s="27" t="str">
        <x:v>2170925024</x:v>
      </x:c>
      <x:c r="E367" s="28" t="str">
        <x:v>房地产开发投资:住宅:西部地区:当月同比</x:v>
      </x:c>
      <x:c r="F367" s="28" t="str">
        <x:v>Real Estate Investment: Residential: Western Area: Month YoY</x:v>
      </x:c>
      <x:c r="G367" s="27" t="str">
        <x:v>月</x:v>
      </x:c>
      <x:c r="H367" s="27" t="str">
        <x:v>%</x:v>
      </x:c>
      <x:c r="I367" s="27" t="str">
        <x:v>当期同比</x:v>
      </x:c>
      <x:c r="J367" s="27" t="str">
        <x:v>全国</x:v>
      </x:c>
      <x:c r="K367" s="27" t="str">
        <x:v>中国</x:v>
      </x:c>
      <x:c r="L367" s="28" t="str">
        <x:v>国家统计局</x:v>
      </x:c>
      <x:c r="M367" s="28" t="str">
        <x:v>getEcoDataIndRealestate</x:v>
      </x:c>
      <x:c r="N367" s="27" t="str">
        <x:v>2004-03-31</x:v>
      </x:c>
      <x:c r="O367" s="27" t="str">
        <x:v>2026-06-30</x:v>
      </x:c>
      <x:c r="P367" s="27" t="str">
        <x:v>持续更新</x:v>
      </x:c>
      <x:c r="Q367" s="27" t="str"/>
      <x:c r="R367" s="28" t="str"/>
    </x:row>
    <x:row r="368" ht="48" customHeight="1">
      <x:c r="A368" s="27" t="str">
        <x:v>801180</x:v>
      </x:c>
      <x:c r="B368" s="27" t="str">
        <x:v>房地产</x:v>
      </x:c>
      <x:c r="C368" s="27" t="n">
        <x:v>7</x:v>
      </x:c>
      <x:c r="D368" s="27" t="str">
        <x:v>2170742161</x:v>
      </x:c>
      <x:c r="E368" s="28" t="str">
        <x:v>商品房新开工面积:办公楼:当月同比</x:v>
      </x:c>
      <x:c r="F368" s="28" t="str">
        <x:v>Newly-built Area of Commercial Housing: Office Building: Month YoY</x:v>
      </x:c>
      <x:c r="G368" s="27" t="str">
        <x:v>月</x:v>
      </x:c>
      <x:c r="H368" s="27" t="str">
        <x:v>%</x:v>
      </x:c>
      <x:c r="I368" s="27" t="str">
        <x:v>当期同比</x:v>
      </x:c>
      <x:c r="J368" s="27" t="str">
        <x:v>全国</x:v>
      </x:c>
      <x:c r="K368" s="27" t="str">
        <x:v>中国</x:v>
      </x:c>
      <x:c r="L368" s="28" t="str">
        <x:v>国家统计局</x:v>
      </x:c>
      <x:c r="M368" s="28" t="str">
        <x:v>getEcoDataIndRealestate</x:v>
      </x:c>
      <x:c r="N368" s="27" t="str">
        <x:v>2000-03-31</x:v>
      </x:c>
      <x:c r="O368" s="27" t="str">
        <x:v>2026-06-30</x:v>
      </x:c>
      <x:c r="P368" s="27" t="str">
        <x:v>持续更新</x:v>
      </x:c>
      <x:c r="Q368" s="27" t="str"/>
      <x:c r="R368" s="28" t="str"/>
    </x:row>
    <x:row r="369" ht="48" customHeight="1">
      <x:c r="A369" s="27" t="str">
        <x:v>801180</x:v>
      </x:c>
      <x:c r="B369" s="27" t="str">
        <x:v>房地产</x:v>
      </x:c>
      <x:c r="C369" s="27" t="n">
        <x:v>8</x:v>
      </x:c>
      <x:c r="D369" s="27" t="str">
        <x:v>2170742163</x:v>
      </x:c>
      <x:c r="E369" s="28" t="str">
        <x:v>商品房新开工面积:商业营业用房:当月同比</x:v>
      </x:c>
      <x:c r="F369" s="28" t="str">
        <x:v>Newly-built Area of Commercial Housing: Housing for Business Operation: Month YoY</x:v>
      </x:c>
      <x:c r="G369" s="27" t="str">
        <x:v>月</x:v>
      </x:c>
      <x:c r="H369" s="27" t="str">
        <x:v>%</x:v>
      </x:c>
      <x:c r="I369" s="27" t="str">
        <x:v>当期同比</x:v>
      </x:c>
      <x:c r="J369" s="27" t="str">
        <x:v>全国</x:v>
      </x:c>
      <x:c r="K369" s="27" t="str">
        <x:v>中国</x:v>
      </x:c>
      <x:c r="L369" s="28" t="str">
        <x:v>国家统计局</x:v>
      </x:c>
      <x:c r="M369" s="28" t="str">
        <x:v>getEcoDataIndRealestate</x:v>
      </x:c>
      <x:c r="N369" s="27" t="str">
        <x:v>2000-03-31</x:v>
      </x:c>
      <x:c r="O369" s="27" t="str">
        <x:v>2026-06-30</x:v>
      </x:c>
      <x:c r="P369" s="27" t="str">
        <x:v>持续更新</x:v>
      </x:c>
      <x:c r="Q369" s="27" t="str"/>
      <x:c r="R369" s="28" t="str"/>
    </x:row>
    <x:row r="370" ht="48" customHeight="1">
      <x:c r="A370" s="27" t="str">
        <x:v>801180</x:v>
      </x:c>
      <x:c r="B370" s="27" t="str">
        <x:v>房地产</x:v>
      </x:c>
      <x:c r="C370" s="27" t="n">
        <x:v>9</x:v>
      </x:c>
      <x:c r="D370" s="27" t="str">
        <x:v>2170742159</x:v>
      </x:c>
      <x:c r="E370" s="28" t="str">
        <x:v>商品房新开工面积:当月同比</x:v>
      </x:c>
      <x:c r="F370" s="28" t="str">
        <x:v>Newly-built Area of Commercial Housing: Month YoY</x:v>
      </x:c>
      <x:c r="G370" s="27" t="str">
        <x:v>月</x:v>
      </x:c>
      <x:c r="H370" s="27" t="str">
        <x:v>%</x:v>
      </x:c>
      <x:c r="I370" s="27" t="str">
        <x:v>当期同比</x:v>
      </x:c>
      <x:c r="J370" s="27" t="str">
        <x:v>全国</x:v>
      </x:c>
      <x:c r="K370" s="27" t="str">
        <x:v>中国</x:v>
      </x:c>
      <x:c r="L370" s="28" t="str">
        <x:v>国家统计局</x:v>
      </x:c>
      <x:c r="M370" s="28" t="str">
        <x:v>getEcoDataIndRealestate</x:v>
      </x:c>
      <x:c r="N370" s="27" t="str">
        <x:v>2000-03-31</x:v>
      </x:c>
      <x:c r="O370" s="27" t="str">
        <x:v>2026-06-30</x:v>
      </x:c>
      <x:c r="P370" s="27" t="str">
        <x:v>持续更新</x:v>
      </x:c>
      <x:c r="Q370" s="27" t="str"/>
      <x:c r="R370" s="28" t="str"/>
    </x:row>
    <x:row r="371" ht="48" customHeight="1">
      <x:c r="A371" s="27" t="str">
        <x:v>801180</x:v>
      </x:c>
      <x:c r="B371" s="27" t="str">
        <x:v>房地产</x:v>
      </x:c>
      <x:c r="C371" s="27" t="n">
        <x:v>10</x:v>
      </x:c>
      <x:c r="D371" s="27" t="str">
        <x:v>2170742167</x:v>
      </x:c>
      <x:c r="E371" s="28" t="str">
        <x:v>商品房施工面积:住宅:当月同比</x:v>
      </x:c>
      <x:c r="F371" s="28" t="str">
        <x:v>Construction Area of Commodity Housing: Household: Month YoY</x:v>
      </x:c>
      <x:c r="G371" s="27" t="str">
        <x:v>月</x:v>
      </x:c>
      <x:c r="H371" s="27" t="str">
        <x:v>%</x:v>
      </x:c>
      <x:c r="I371" s="27" t="str">
        <x:v>当期同比</x:v>
      </x:c>
      <x:c r="J371" s="27" t="str">
        <x:v>全国</x:v>
      </x:c>
      <x:c r="K371" s="27" t="str">
        <x:v>中国</x:v>
      </x:c>
      <x:c r="L371" s="28" t="str">
        <x:v>国家统计局</x:v>
      </x:c>
      <x:c r="M371" s="28" t="str">
        <x:v>getEcoDataIndRealestate</x:v>
      </x:c>
      <x:c r="N371" s="27" t="str">
        <x:v>1999-08-31</x:v>
      </x:c>
      <x:c r="O371" s="27" t="str">
        <x:v>2026-06-30</x:v>
      </x:c>
      <x:c r="P371" s="27" t="str">
        <x:v>持续更新</x:v>
      </x:c>
      <x:c r="Q371" s="27" t="str"/>
      <x:c r="R371" s="28" t="str"/>
    </x:row>
    <x:row r="372" ht="48" customHeight="1">
      <x:c r="A372" s="27" t="str">
        <x:v>801180</x:v>
      </x:c>
      <x:c r="B372" s="27" t="str">
        <x:v>房地产</x:v>
      </x:c>
      <x:c r="C372" s="27" t="n">
        <x:v>11</x:v>
      </x:c>
      <x:c r="D372" s="27" t="str">
        <x:v>2170742177</x:v>
      </x:c>
      <x:c r="E372" s="28" t="str">
        <x:v>商品房竣工面积:办公楼:当月同比</x:v>
      </x:c>
      <x:c r="F372" s="28" t="str">
        <x:v>Floor Area Completed of Commodity Housing: Office Building: Month YoY</x:v>
      </x:c>
      <x:c r="G372" s="27" t="str">
        <x:v>月</x:v>
      </x:c>
      <x:c r="H372" s="27" t="str">
        <x:v>%</x:v>
      </x:c>
      <x:c r="I372" s="27" t="str">
        <x:v>当期同比</x:v>
      </x:c>
      <x:c r="J372" s="27" t="str">
        <x:v>全国</x:v>
      </x:c>
      <x:c r="K372" s="27" t="str">
        <x:v>中国</x:v>
      </x:c>
      <x:c r="L372" s="28" t="str">
        <x:v>国家统计局</x:v>
      </x:c>
      <x:c r="M372" s="28" t="str">
        <x:v>getEcoDataIndRealestate</x:v>
      </x:c>
      <x:c r="N372" s="27" t="str">
        <x:v>2000-03-31</x:v>
      </x:c>
      <x:c r="O372" s="27" t="str">
        <x:v>2026-06-30</x:v>
      </x:c>
      <x:c r="P372" s="27" t="str">
        <x:v>持续更新</x:v>
      </x:c>
      <x:c r="Q372" s="27" t="str"/>
      <x:c r="R372" s="28" t="str"/>
    </x:row>
    <x:row r="373" ht="48" customHeight="1">
      <x:c r="A373" s="27" t="str">
        <x:v>801180</x:v>
      </x:c>
      <x:c r="B373" s="27" t="str">
        <x:v>房地产</x:v>
      </x:c>
      <x:c r="C373" s="27" t="n">
        <x:v>12</x:v>
      </x:c>
      <x:c r="D373" s="27" t="str">
        <x:v>2170742179</x:v>
      </x:c>
      <x:c r="E373" s="28" t="str">
        <x:v>商品房竣工面积:商业营业用房:当月同比</x:v>
      </x:c>
      <x:c r="F373" s="28" t="str">
        <x:v>Floor Area Completed of Commodity Housing: Commercial Premises: Month YoY</x:v>
      </x:c>
      <x:c r="G373" s="27" t="str">
        <x:v>月</x:v>
      </x:c>
      <x:c r="H373" s="27" t="str">
        <x:v>%</x:v>
      </x:c>
      <x:c r="I373" s="27" t="str">
        <x:v>当期同比</x:v>
      </x:c>
      <x:c r="J373" s="27" t="str">
        <x:v>全国</x:v>
      </x:c>
      <x:c r="K373" s="27" t="str">
        <x:v>中国</x:v>
      </x:c>
      <x:c r="L373" s="28" t="str">
        <x:v>国家统计局</x:v>
      </x:c>
      <x:c r="M373" s="28" t="str">
        <x:v>getEcoDataIndRealestate</x:v>
      </x:c>
      <x:c r="N373" s="27" t="str">
        <x:v>2000-03-31</x:v>
      </x:c>
      <x:c r="O373" s="27" t="str">
        <x:v>2026-06-30</x:v>
      </x:c>
      <x:c r="P373" s="27" t="str">
        <x:v>持续更新</x:v>
      </x:c>
      <x:c r="Q373" s="27" t="str"/>
      <x:c r="R373" s="28" t="str"/>
    </x:row>
    <x:row r="374" ht="48" customHeight="1">
      <x:c r="A374" s="27" t="str">
        <x:v>801180</x:v>
      </x:c>
      <x:c r="B374" s="27" t="str">
        <x:v>房地产</x:v>
      </x:c>
      <x:c r="C374" s="27" t="n">
        <x:v>13</x:v>
      </x:c>
      <x:c r="D374" s="27" t="str">
        <x:v>2170742173</x:v>
      </x:c>
      <x:c r="E374" s="28" t="str">
        <x:v>商品房竣工面积:当月同比</x:v>
      </x:c>
      <x:c r="F374" s="28" t="str">
        <x:v>Floor Area Completed of Commodity Housing: Month YoY</x:v>
      </x:c>
      <x:c r="G374" s="27" t="str">
        <x:v>月</x:v>
      </x:c>
      <x:c r="H374" s="27" t="str">
        <x:v>%</x:v>
      </x:c>
      <x:c r="I374" s="27" t="str">
        <x:v>当期同比</x:v>
      </x:c>
      <x:c r="J374" s="27" t="str">
        <x:v>全国</x:v>
      </x:c>
      <x:c r="K374" s="27" t="str">
        <x:v>中国</x:v>
      </x:c>
      <x:c r="L374" s="28" t="str">
        <x:v>国家统计局</x:v>
      </x:c>
      <x:c r="M374" s="28" t="str">
        <x:v>getEcoDataIndRealestate</x:v>
      </x:c>
      <x:c r="N374" s="27" t="str">
        <x:v>1999-08-31</x:v>
      </x:c>
      <x:c r="O374" s="27" t="str">
        <x:v>2026-06-30</x:v>
      </x:c>
      <x:c r="P374" s="27" t="str">
        <x:v>持续更新</x:v>
      </x:c>
      <x:c r="Q374" s="27" t="str"/>
      <x:c r="R374" s="28" t="str"/>
    </x:row>
    <x:row r="375" ht="48" customHeight="1">
      <x:c r="A375" s="27" t="str">
        <x:v>801180</x:v>
      </x:c>
      <x:c r="B375" s="27" t="str">
        <x:v>房地产</x:v>
      </x:c>
      <x:c r="C375" s="27" t="n">
        <x:v>14</x:v>
      </x:c>
      <x:c r="D375" s="27" t="str">
        <x:v>2170744841</x:v>
      </x:c>
      <x:c r="E375" s="28" t="str">
        <x:v>商品房销售面积:东北地区:累计同比</x:v>
      </x:c>
      <x:c r="F375" s="28" t="str">
        <x:v>Sales Area of Commercial Housing: Northeast Area: Cumulative YoY</x:v>
      </x:c>
      <x:c r="G375" s="27" t="str">
        <x:v>月</x:v>
      </x:c>
      <x:c r="H375" s="27" t="str">
        <x:v>%</x:v>
      </x:c>
      <x:c r="I375" s="27" t="str">
        <x:v>累计同比</x:v>
      </x:c>
      <x:c r="J375" s="27" t="str">
        <x:v>全国</x:v>
      </x:c>
      <x:c r="K375" s="27" t="str">
        <x:v>中国</x:v>
      </x:c>
      <x:c r="L375" s="28" t="str">
        <x:v>国家统计局</x:v>
      </x:c>
      <x:c r="M375" s="28" t="str">
        <x:v>getEcoDataIndRealestate</x:v>
      </x:c>
      <x:c r="N375" s="27" t="str">
        <x:v>2017-03-31</x:v>
      </x:c>
      <x:c r="O375" s="27" t="str">
        <x:v>2026-06-30</x:v>
      </x:c>
      <x:c r="P375" s="27" t="str">
        <x:v>持续更新</x:v>
      </x:c>
      <x:c r="Q375" s="27" t="str"/>
      <x:c r="R375" s="28" t="str"/>
    </x:row>
    <x:row r="376" ht="48" customHeight="1">
      <x:c r="A376" s="27" t="str">
        <x:v>801180</x:v>
      </x:c>
      <x:c r="B376" s="27" t="str">
        <x:v>房地产</x:v>
      </x:c>
      <x:c r="C376" s="27" t="n">
        <x:v>15</x:v>
      </x:c>
      <x:c r="D376" s="27" t="str">
        <x:v>2170742189</x:v>
      </x:c>
      <x:c r="E376" s="28" t="str">
        <x:v>商品房销售面积:办公楼:当月同比</x:v>
      </x:c>
      <x:c r="F376" s="28" t="str">
        <x:v>Sales Area of Commercial Housing: Office Building: Current Value (Month): YoY</x:v>
      </x:c>
      <x:c r="G376" s="27" t="str">
        <x:v>月</x:v>
      </x:c>
      <x:c r="H376" s="27" t="str">
        <x:v>%</x:v>
      </x:c>
      <x:c r="I376" s="27" t="str">
        <x:v>当期同比</x:v>
      </x:c>
      <x:c r="J376" s="27" t="str">
        <x:v>全国</x:v>
      </x:c>
      <x:c r="K376" s="27" t="str">
        <x:v>中国</x:v>
      </x:c>
      <x:c r="L376" s="28" t="str">
        <x:v>国家统计局</x:v>
      </x:c>
      <x:c r="M376" s="28" t="str">
        <x:v>getEcoDataIndRealestate</x:v>
      </x:c>
      <x:c r="N376" s="27" t="str">
        <x:v>2000-03-31</x:v>
      </x:c>
      <x:c r="O376" s="27" t="str">
        <x:v>2026-06-30</x:v>
      </x:c>
      <x:c r="P376" s="27" t="str">
        <x:v>持续更新</x:v>
      </x:c>
      <x:c r="Q376" s="27" t="str"/>
      <x:c r="R376" s="28" t="str"/>
    </x:row>
    <x:row r="377" ht="48" customHeight="1">
      <x:c r="A377" s="27" t="str">
        <x:v>801180</x:v>
      </x:c>
      <x:c r="B377" s="27" t="str">
        <x:v>房地产</x:v>
      </x:c>
      <x:c r="C377" s="27" t="n">
        <x:v>16</x:v>
      </x:c>
      <x:c r="D377" s="27" t="str">
        <x:v>2170742187</x:v>
      </x:c>
      <x:c r="E377" s="28" t="str">
        <x:v>商品房销售面积:商业营业用房:当月同比</x:v>
      </x:c>
      <x:c r="F377" s="28" t="str">
        <x:v>Sales Area of Commercial Housing: Commercial Premises: Current Value (Month): YoY</x:v>
      </x:c>
      <x:c r="G377" s="27" t="str">
        <x:v>月</x:v>
      </x:c>
      <x:c r="H377" s="27" t="str">
        <x:v>%</x:v>
      </x:c>
      <x:c r="I377" s="27" t="str">
        <x:v>当期同比</x:v>
      </x:c>
      <x:c r="J377" s="27" t="str">
        <x:v>全国</x:v>
      </x:c>
      <x:c r="K377" s="27" t="str">
        <x:v>中国</x:v>
      </x:c>
      <x:c r="L377" s="28" t="str">
        <x:v>国家统计局</x:v>
      </x:c>
      <x:c r="M377" s="28" t="str">
        <x:v>getEcoDataIndRealestate</x:v>
      </x:c>
      <x:c r="N377" s="27" t="str">
        <x:v>2000-03-31</x:v>
      </x:c>
      <x:c r="O377" s="27" t="str">
        <x:v>2026-06-30</x:v>
      </x:c>
      <x:c r="P377" s="27" t="str">
        <x:v>持续更新</x:v>
      </x:c>
      <x:c r="Q377" s="27" t="str"/>
      <x:c r="R377" s="28" t="str"/>
    </x:row>
    <x:row r="378" ht="48" customHeight="1">
      <x:c r="A378" s="27" t="str">
        <x:v>801180</x:v>
      </x:c>
      <x:c r="B378" s="27" t="str">
        <x:v>房地产</x:v>
      </x:c>
      <x:c r="C378" s="27" t="n">
        <x:v>17</x:v>
      </x:c>
      <x:c r="D378" s="27" t="str">
        <x:v>2170742203</x:v>
      </x:c>
      <x:c r="E378" s="28" t="str">
        <x:v>商品房销售面积:当月同比</x:v>
      </x:c>
      <x:c r="F378" s="28" t="str">
        <x:v>Sales Area of Commercial Housing: Current Value (Month): YoY</x:v>
      </x:c>
      <x:c r="G378" s="27" t="str">
        <x:v>月</x:v>
      </x:c>
      <x:c r="H378" s="27" t="str">
        <x:v>%</x:v>
      </x:c>
      <x:c r="I378" s="27" t="str">
        <x:v>当期同比</x:v>
      </x:c>
      <x:c r="J378" s="27" t="str">
        <x:v>全国</x:v>
      </x:c>
      <x:c r="K378" s="27" t="str">
        <x:v>中国</x:v>
      </x:c>
      <x:c r="L378" s="28" t="str">
        <x:v>国家统计局</x:v>
      </x:c>
      <x:c r="M378" s="28" t="str">
        <x:v>getEcoDataIndRealestate</x:v>
      </x:c>
      <x:c r="N378" s="27" t="str">
        <x:v>1999-08-31</x:v>
      </x:c>
      <x:c r="O378" s="27" t="str">
        <x:v>2026-06-30</x:v>
      </x:c>
      <x:c r="P378" s="27" t="str">
        <x:v>持续更新</x:v>
      </x:c>
      <x:c r="Q378" s="27" t="str"/>
      <x:c r="R378" s="28" t="str"/>
    </x:row>
    <x:row r="379" ht="48" customHeight="1">
      <x:c r="A379" s="27" t="str">
        <x:v>801180</x:v>
      </x:c>
      <x:c r="B379" s="27" t="str">
        <x:v>房地产</x:v>
      </x:c>
      <x:c r="C379" s="27" t="n">
        <x:v>18</x:v>
      </x:c>
      <x:c r="D379" s="27" t="str">
        <x:v>2170002024</x:v>
      </x:c>
      <x:c r="E379" s="28" t="str">
        <x:v>商品房销售额:住宅:累计同比</x:v>
      </x:c>
      <x:c r="F379" s="28" t="str">
        <x:v>Sales of Commercial Housing: Residential: Cumulative YoY</x:v>
      </x:c>
      <x:c r="G379" s="27" t="str">
        <x:v>月</x:v>
      </x:c>
      <x:c r="H379" s="27" t="str">
        <x:v>%</x:v>
      </x:c>
      <x:c r="I379" s="27" t="str">
        <x:v>累计同比</x:v>
      </x:c>
      <x:c r="J379" s="27" t="str">
        <x:v>全国</x:v>
      </x:c>
      <x:c r="K379" s="27" t="str">
        <x:v>中国</x:v>
      </x:c>
      <x:c r="L379" s="28" t="str">
        <x:v>国家统计局</x:v>
      </x:c>
      <x:c r="M379" s="28" t="str">
        <x:v>getEcoDataIndRealestate</x:v>
      </x:c>
      <x:c r="N379" s="27" t="str">
        <x:v>1999-02-28</x:v>
      </x:c>
      <x:c r="O379" s="27" t="str">
        <x:v>2026-06-30</x:v>
      </x:c>
      <x:c r="P379" s="27" t="str">
        <x:v>持续更新</x:v>
      </x:c>
      <x:c r="Q379" s="27" t="str"/>
      <x:c r="R379" s="28" t="str"/>
    </x:row>
    <x:row r="380" ht="48" customHeight="1">
      <x:c r="A380" s="27" t="str">
        <x:v>801180</x:v>
      </x:c>
      <x:c r="B380" s="27" t="str">
        <x:v>房地产</x:v>
      </x:c>
      <x:c r="C380" s="27" t="n">
        <x:v>19</x:v>
      </x:c>
      <x:c r="D380" s="27" t="str">
        <x:v>2170925032</x:v>
      </x:c>
      <x:c r="E380" s="28" t="str">
        <x:v>房地产开发投资:东部地区:当月同比</x:v>
      </x:c>
      <x:c r="F380" s="28" t="str">
        <x:v>Real Estate Investment: East Area: Month YoY</x:v>
      </x:c>
      <x:c r="G380" s="27" t="str">
        <x:v>月</x:v>
      </x:c>
      <x:c r="H380" s="27" t="str">
        <x:v>%</x:v>
      </x:c>
      <x:c r="I380" s="27" t="str">
        <x:v>当期同比</x:v>
      </x:c>
      <x:c r="J380" s="27" t="str">
        <x:v>全国</x:v>
      </x:c>
      <x:c r="K380" s="27" t="str">
        <x:v>中国</x:v>
      </x:c>
      <x:c r="L380" s="28" t="str">
        <x:v>国家统计局</x:v>
      </x:c>
      <x:c r="M380" s="28" t="str">
        <x:v>getEcoDataIndRealestate</x:v>
      </x:c>
      <x:c r="N380" s="27" t="str">
        <x:v>2004-03-31</x:v>
      </x:c>
      <x:c r="O380" s="27" t="str">
        <x:v>2026-06-30</x:v>
      </x:c>
      <x:c r="P380" s="27" t="str">
        <x:v>持续更新</x:v>
      </x:c>
      <x:c r="Q380" s="27" t="str"/>
      <x:c r="R380" s="28" t="str"/>
    </x:row>
    <x:row r="381" ht="48" customHeight="1">
      <x:c r="A381" s="27" t="str">
        <x:v>801180</x:v>
      </x:c>
      <x:c r="B381" s="27" t="str">
        <x:v>房地产</x:v>
      </x:c>
      <x:c r="C381" s="27" t="n">
        <x:v>20</x:v>
      </x:c>
      <x:c r="D381" s="27" t="str">
        <x:v>2170925028</x:v>
      </x:c>
      <x:c r="E381" s="28" t="str">
        <x:v>房地产开发投资:中部地区:当月同比</x:v>
      </x:c>
      <x:c r="F381" s="28" t="str">
        <x:v>Real Estate Investment: Central Area: Month YoY</x:v>
      </x:c>
      <x:c r="G381" s="27" t="str">
        <x:v>月</x:v>
      </x:c>
      <x:c r="H381" s="27" t="str">
        <x:v>%</x:v>
      </x:c>
      <x:c r="I381" s="27" t="str">
        <x:v>当期同比</x:v>
      </x:c>
      <x:c r="J381" s="27" t="str">
        <x:v>全国</x:v>
      </x:c>
      <x:c r="K381" s="27" t="str">
        <x:v>中国</x:v>
      </x:c>
      <x:c r="L381" s="28" t="str">
        <x:v>国家统计局</x:v>
      </x:c>
      <x:c r="M381" s="28" t="str">
        <x:v>getEcoDataIndRealestate</x:v>
      </x:c>
      <x:c r="N381" s="27" t="str">
        <x:v>2004-03-31</x:v>
      </x:c>
      <x:c r="O381" s="27" t="str">
        <x:v>2026-06-30</x:v>
      </x:c>
      <x:c r="P381" s="27" t="str">
        <x:v>持续更新</x:v>
      </x:c>
      <x:c r="Q381" s="27" t="str"/>
      <x:c r="R381" s="28" t="str"/>
    </x:row>
    <x:row r="382" ht="48" customHeight="1">
      <x:c r="A382" s="27" t="str">
        <x:v>801180</x:v>
      </x:c>
      <x:c r="B382" s="27" t="str">
        <x:v>房地产</x:v>
      </x:c>
      <x:c r="C382" s="27" t="n">
        <x:v>21</x:v>
      </x:c>
      <x:c r="D382" s="27" t="str">
        <x:v>2170742155</x:v>
      </x:c>
      <x:c r="E382" s="28" t="str">
        <x:v>房地产开发投资:商业营业用房:当月同比</x:v>
      </x:c>
      <x:c r="F382" s="28" t="str">
        <x:v>Real Estate Development Investment: Commercial Premises: Month YoY</x:v>
      </x:c>
      <x:c r="G382" s="27" t="str">
        <x:v>月</x:v>
      </x:c>
      <x:c r="H382" s="27" t="str">
        <x:v>%</x:v>
      </x:c>
      <x:c r="I382" s="27" t="str">
        <x:v>当期同比</x:v>
      </x:c>
      <x:c r="J382" s="27" t="str">
        <x:v>全国</x:v>
      </x:c>
      <x:c r="K382" s="27" t="str">
        <x:v>中国</x:v>
      </x:c>
      <x:c r="L382" s="28" t="str">
        <x:v>国家统计局</x:v>
      </x:c>
      <x:c r="M382" s="28" t="str">
        <x:v>getEcoDataIndRealestate</x:v>
      </x:c>
      <x:c r="N382" s="27" t="str">
        <x:v>1999-03-31</x:v>
      </x:c>
      <x:c r="O382" s="27" t="str">
        <x:v>2026-06-30</x:v>
      </x:c>
      <x:c r="P382" s="27" t="str">
        <x:v>持续更新</x:v>
      </x:c>
      <x:c r="Q382" s="27" t="str"/>
      <x:c r="R382" s="28" t="str"/>
    </x:row>
    <x:row r="383" ht="48" customHeight="1">
      <x:c r="A383" s="27" t="str">
        <x:v>801180</x:v>
      </x:c>
      <x:c r="B383" s="27" t="str">
        <x:v>房地产</x:v>
      </x:c>
      <x:c r="C383" s="27" t="n">
        <x:v>22</x:v>
      </x:c>
      <x:c r="D383" s="27" t="str">
        <x:v>2170742149</x:v>
      </x:c>
      <x:c r="E383" s="28" t="str">
        <x:v>房地产开发投资:当月同比</x:v>
      </x:c>
      <x:c r="F383" s="28" t="str">
        <x:v>Real Estate Development Investment: Month YoY</x:v>
      </x:c>
      <x:c r="G383" s="27" t="str">
        <x:v>月</x:v>
      </x:c>
      <x:c r="H383" s="27" t="str">
        <x:v>%</x:v>
      </x:c>
      <x:c r="I383" s="27" t="str">
        <x:v>当期同比</x:v>
      </x:c>
      <x:c r="J383" s="27" t="str">
        <x:v>全国</x:v>
      </x:c>
      <x:c r="K383" s="27" t="str">
        <x:v>中国</x:v>
      </x:c>
      <x:c r="L383" s="28" t="str">
        <x:v>国家统计局</x:v>
      </x:c>
      <x:c r="M383" s="28" t="str">
        <x:v>getEcoDataIndRealestate</x:v>
      </x:c>
      <x:c r="N383" s="27" t="str">
        <x:v>1995-03-31</x:v>
      </x:c>
      <x:c r="O383" s="27" t="str">
        <x:v>2026-06-30</x:v>
      </x:c>
      <x:c r="P383" s="27" t="str">
        <x:v>持续更新</x:v>
      </x:c>
      <x:c r="Q383" s="27" t="str"/>
      <x:c r="R383" s="28" t="str"/>
    </x:row>
    <x:row r="384" ht="48" customHeight="1">
      <x:c r="A384" s="27" t="str">
        <x:v>801180</x:v>
      </x:c>
      <x:c r="B384" s="27" t="str">
        <x:v>房地产</x:v>
      </x:c>
      <x:c r="C384" s="27" t="n">
        <x:v>23</x:v>
      </x:c>
      <x:c r="D384" s="27" t="str">
        <x:v>2170925030</x:v>
      </x:c>
      <x:c r="E384" s="28" t="str">
        <x:v>房地产开发投资:西部地区:当月同比</x:v>
      </x:c>
      <x:c r="F384" s="28" t="str">
        <x:v>Real Estate Investment: Western Area: Month YoY</x:v>
      </x:c>
      <x:c r="G384" s="27" t="str">
        <x:v>月</x:v>
      </x:c>
      <x:c r="H384" s="27" t="str">
        <x:v>%</x:v>
      </x:c>
      <x:c r="I384" s="27" t="str">
        <x:v>当期同比</x:v>
      </x:c>
      <x:c r="J384" s="27" t="str">
        <x:v>全国</x:v>
      </x:c>
      <x:c r="K384" s="27" t="str">
        <x:v>中国</x:v>
      </x:c>
      <x:c r="L384" s="28" t="str">
        <x:v>国家统计局</x:v>
      </x:c>
      <x:c r="M384" s="28" t="str">
        <x:v>getEcoDataIndRealestate</x:v>
      </x:c>
      <x:c r="N384" s="27" t="str">
        <x:v>2004-03-31</x:v>
      </x:c>
      <x:c r="O384" s="27" t="str">
        <x:v>2026-06-30</x:v>
      </x:c>
      <x:c r="P384" s="27" t="str">
        <x:v>持续更新</x:v>
      </x:c>
      <x:c r="Q384" s="27" t="str"/>
      <x:c r="R384" s="28" t="str"/>
    </x:row>
    <x:row r="385" ht="48" customHeight="1">
      <x:c r="A385" s="27" t="str">
        <x:v>801180</x:v>
      </x:c>
      <x:c r="B385" s="27" t="str">
        <x:v>房地产</x:v>
      </x:c>
      <x:c r="C385" s="27" t="n">
        <x:v>24</x:v>
      </x:c>
      <x:c r="D385" s="27" t="str">
        <x:v>2170742153</x:v>
      </x:c>
      <x:c r="E385" s="28" t="str">
        <x:v>房地产开发投资完成额:办公楼:当月同比</x:v>
      </x:c>
      <x:c r="F385" s="28" t="str">
        <x:v>Real Estate Development Investment: Office Building: Month YoY</x:v>
      </x:c>
      <x:c r="G385" s="27" t="str">
        <x:v>月</x:v>
      </x:c>
      <x:c r="H385" s="27" t="str">
        <x:v>%</x:v>
      </x:c>
      <x:c r="I385" s="27" t="str">
        <x:v>当期同比</x:v>
      </x:c>
      <x:c r="J385" s="27" t="str">
        <x:v>全国</x:v>
      </x:c>
      <x:c r="K385" s="27" t="str">
        <x:v>中国</x:v>
      </x:c>
      <x:c r="L385" s="28" t="str">
        <x:v>国家统计局</x:v>
      </x:c>
      <x:c r="M385" s="28" t="str">
        <x:v>getEcoDataIndRealestate</x:v>
      </x:c>
      <x:c r="N385" s="27" t="str">
        <x:v>1999-03-31</x:v>
      </x:c>
      <x:c r="O385" s="27" t="str">
        <x:v>2026-06-30</x:v>
      </x:c>
      <x:c r="P385" s="27" t="str">
        <x:v>持续更新</x:v>
      </x:c>
      <x:c r="Q385" s="27" t="str"/>
      <x:c r="R385" s="28" t="str"/>
    </x:row>
    <x:row r="386" ht="48" customHeight="1">
      <x:c r="A386" s="27" t="str">
        <x:v>801180</x:v>
      </x:c>
      <x:c r="B386" s="27" t="str">
        <x:v>房地产</x:v>
      </x:c>
      <x:c r="C386" s="27" t="n">
        <x:v>25</x:v>
      </x:c>
      <x:c r="D386" s="27" t="str">
        <x:v>1050000035</x:v>
      </x:c>
      <x:c r="E386" s="28" t="str">
        <x:v>房地产开发投资完成额:当月同比</x:v>
      </x:c>
      <x:c r="F386" s="28" t="str">
        <x:v>Real Estate Development Investment Completed Amount: YoY</x:v>
      </x:c>
      <x:c r="G386" s="27" t="str">
        <x:v>月</x:v>
      </x:c>
      <x:c r="H386" s="27" t="str">
        <x:v>%</x:v>
      </x:c>
      <x:c r="I386" s="27" t="str">
        <x:v>当期同比</x:v>
      </x:c>
      <x:c r="J386" s="27" t="str">
        <x:v>全国</x:v>
      </x:c>
      <x:c r="K386" s="27" t="str">
        <x:v>中国</x:v>
      </x:c>
      <x:c r="L386" s="28" t="str">
        <x:v>Datayes!</x:v>
      </x:c>
      <x:c r="M386" s="28" t="str">
        <x:v>getEcoDataChina</x:v>
      </x:c>
      <x:c r="N386" s="27" t="str">
        <x:v>1992-03-31</x:v>
      </x:c>
      <x:c r="O386" s="27" t="str">
        <x:v>2026-06-30</x:v>
      </x:c>
      <x:c r="P386" s="27" t="str">
        <x:v>持续更新</x:v>
      </x:c>
      <x:c r="Q386" s="27" t="str"/>
      <x:c r="R386" s="28" t="str"/>
    </x:row>
    <x:row r="387" ht="48" customHeight="1">
      <x:c r="A387" s="27" t="str">
        <x:v>801180</x:v>
      </x:c>
      <x:c r="B387" s="27" t="str">
        <x:v>房地产</x:v>
      </x:c>
      <x:c r="C387" s="27" t="n">
        <x:v>26</x:v>
      </x:c>
      <x:c r="D387" s="27" t="str">
        <x:v>2170915530</x:v>
      </x:c>
      <x:c r="E387" s="28" t="str">
        <x:v>二手住宅价格指数:一线城市:当月同比</x:v>
      </x:c>
      <x:c r="F387" s="28" t="str"/>
      <x:c r="G387" s="27" t="str">
        <x:v>月</x:v>
      </x:c>
      <x:c r="H387" s="27" t="str">
        <x:v>上年同期=100</x:v>
      </x:c>
      <x:c r="I387" s="27" t="str">
        <x:v>当期同比</x:v>
      </x:c>
      <x:c r="J387" s="27" t="str">
        <x:v>全国</x:v>
      </x:c>
      <x:c r="K387" s="27" t="str">
        <x:v>中国</x:v>
      </x:c>
      <x:c r="L387" s="28" t="str">
        <x:v>国家统计局</x:v>
      </x:c>
      <x:c r="M387" s="28" t="str">
        <x:v>getEcoDataIndRealestate</x:v>
      </x:c>
      <x:c r="N387" s="27" t="str">
        <x:v>2006-01-31</x:v>
      </x:c>
      <x:c r="O387" s="27" t="str">
        <x:v>2026-06-30</x:v>
      </x:c>
      <x:c r="P387" s="27" t="str">
        <x:v>持续更新</x:v>
      </x:c>
      <x:c r="Q387" s="27" t="str"/>
      <x:c r="R387" s="28" t="str"/>
    </x:row>
    <x:row r="388" ht="48" customHeight="1">
      <x:c r="A388" s="27" t="str">
        <x:v>801180</x:v>
      </x:c>
      <x:c r="B388" s="27" t="str">
        <x:v>房地产</x:v>
      </x:c>
      <x:c r="C388" s="27" t="n">
        <x:v>27</x:v>
      </x:c>
      <x:c r="D388" s="27" t="str">
        <x:v>2170915531</x:v>
      </x:c>
      <x:c r="E388" s="28" t="str">
        <x:v>二手住宅价格指数:三线城市:当月同比</x:v>
      </x:c>
      <x:c r="F388" s="28" t="str"/>
      <x:c r="G388" s="27" t="str">
        <x:v>月</x:v>
      </x:c>
      <x:c r="H388" s="27" t="str">
        <x:v>上年同期=100</x:v>
      </x:c>
      <x:c r="I388" s="27" t="str">
        <x:v>当期同比</x:v>
      </x:c>
      <x:c r="J388" s="27" t="str">
        <x:v>全国</x:v>
      </x:c>
      <x:c r="K388" s="27" t="str">
        <x:v>中国</x:v>
      </x:c>
      <x:c r="L388" s="28" t="str">
        <x:v>国家统计局</x:v>
      </x:c>
      <x:c r="M388" s="28" t="str">
        <x:v>getEcoDataIndRealestate</x:v>
      </x:c>
      <x:c r="N388" s="27" t="str">
        <x:v>2006-01-31</x:v>
      </x:c>
      <x:c r="O388" s="27" t="str">
        <x:v>2026-06-30</x:v>
      </x:c>
      <x:c r="P388" s="27" t="str">
        <x:v>持续更新</x:v>
      </x:c>
      <x:c r="Q388" s="27" t="str"/>
      <x:c r="R388" s="28" t="str"/>
    </x:row>
    <x:row r="389" ht="48" customHeight="1">
      <x:c r="A389" s="27" t="str">
        <x:v>801180</x:v>
      </x:c>
      <x:c r="B389" s="27" t="str">
        <x:v>房地产</x:v>
      </x:c>
      <x:c r="C389" s="27" t="n">
        <x:v>28</x:v>
      </x:c>
      <x:c r="D389" s="27" t="str">
        <x:v>2170915532</x:v>
      </x:c>
      <x:c r="E389" s="28" t="str">
        <x:v>二手住宅价格指数:二线城市:当月同比</x:v>
      </x:c>
      <x:c r="F389" s="28" t="str"/>
      <x:c r="G389" s="27" t="str">
        <x:v>月</x:v>
      </x:c>
      <x:c r="H389" s="27" t="str">
        <x:v>上年同期=100</x:v>
      </x:c>
      <x:c r="I389" s="27" t="str">
        <x:v>当期同比</x:v>
      </x:c>
      <x:c r="J389" s="27" t="str">
        <x:v>全国</x:v>
      </x:c>
      <x:c r="K389" s="27" t="str">
        <x:v>中国</x:v>
      </x:c>
      <x:c r="L389" s="28" t="str">
        <x:v>国家统计局</x:v>
      </x:c>
      <x:c r="M389" s="28" t="str">
        <x:v>getEcoDataIndRealestate</x:v>
      </x:c>
      <x:c r="N389" s="27" t="str">
        <x:v>2006-01-31</x:v>
      </x:c>
      <x:c r="O389" s="27" t="str">
        <x:v>2026-06-30</x:v>
      </x:c>
      <x:c r="P389" s="27" t="str">
        <x:v>持续更新</x:v>
      </x:c>
      <x:c r="Q389" s="27" t="str"/>
      <x:c r="R389" s="28" t="str"/>
    </x:row>
    <x:row r="390" ht="48" customHeight="1">
      <x:c r="A390" s="27" t="str">
        <x:v>801180</x:v>
      </x:c>
      <x:c r="B390" s="27" t="str">
        <x:v>房地产</x:v>
      </x:c>
      <x:c r="C390" s="27" t="n">
        <x:v>29</x:v>
      </x:c>
      <x:c r="D390" s="27" t="str">
        <x:v>2170915526</x:v>
      </x:c>
      <x:c r="E390" s="28" t="str">
        <x:v>二手住宅价格指数:环比</x:v>
      </x:c>
      <x:c r="F390" s="28" t="str"/>
      <x:c r="G390" s="27" t="str">
        <x:v>月</x:v>
      </x:c>
      <x:c r="H390" s="27" t="str">
        <x:v>上月=100</x:v>
      </x:c>
      <x:c r="I390" s="27" t="str">
        <x:v>当期环比</x:v>
      </x:c>
      <x:c r="J390" s="27" t="str">
        <x:v>全国</x:v>
      </x:c>
      <x:c r="K390" s="27" t="str">
        <x:v>中国</x:v>
      </x:c>
      <x:c r="L390" s="28" t="str">
        <x:v>国家统计局</x:v>
      </x:c>
      <x:c r="M390" s="28" t="str">
        <x:v>getEcoDataIndRealestate</x:v>
      </x:c>
      <x:c r="N390" s="27" t="str">
        <x:v>2006-01-31</x:v>
      </x:c>
      <x:c r="O390" s="27" t="str">
        <x:v>2026-06-30</x:v>
      </x:c>
      <x:c r="P390" s="27" t="str">
        <x:v>持续更新</x:v>
      </x:c>
      <x:c r="Q390" s="27" t="str"/>
      <x:c r="R390" s="28" t="str"/>
    </x:row>
    <x:row r="391" ht="48" customHeight="1">
      <x:c r="A391" s="27" t="str">
        <x:v>801180</x:v>
      </x:c>
      <x:c r="B391" s="27" t="str">
        <x:v>房地产</x:v>
      </x:c>
      <x:c r="C391" s="27" t="n">
        <x:v>30</x:v>
      </x:c>
      <x:c r="D391" s="27" t="str">
        <x:v>2170000524</x:v>
      </x:c>
      <x:c r="E391" s="28" t="str">
        <x:v>全国:二手住宅价格指数:同比</x:v>
      </x:c>
      <x:c r="F391" s="28" t="str">
        <x:v>(Discontinued)National: Price Index of Second-hand Residence: YoY</x:v>
      </x:c>
      <x:c r="G391" s="27" t="str">
        <x:v>月</x:v>
      </x:c>
      <x:c r="H391" s="27" t="str">
        <x:v>上年同期=100</x:v>
      </x:c>
      <x:c r="I391" s="27" t="str">
        <x:v>当期同比</x:v>
      </x:c>
      <x:c r="J391" s="27" t="str">
        <x:v>全国</x:v>
      </x:c>
      <x:c r="K391" s="27" t="str">
        <x:v>中国</x:v>
      </x:c>
      <x:c r="L391" s="28" t="str">
        <x:v>国家统计局</x:v>
      </x:c>
      <x:c r="M391" s="28" t="str">
        <x:v>getEcoDataIndRealestate</x:v>
      </x:c>
      <x:c r="N391" s="27" t="str">
        <x:v>2006-01-31</x:v>
      </x:c>
      <x:c r="O391" s="27" t="str">
        <x:v>2026-06-30</x:v>
      </x:c>
      <x:c r="P391" s="27" t="str">
        <x:v>持续更新</x:v>
      </x:c>
      <x:c r="Q391" s="27" t="str"/>
      <x:c r="R391" s="28" t="str"/>
    </x:row>
    <x:row r="392" ht="48" customHeight="1">
      <x:c r="A392" s="27" t="str">
        <x:v>801200</x:v>
      </x:c>
      <x:c r="B392" s="27" t="str">
        <x:v>商贸零售</x:v>
      </x:c>
      <x:c r="C392" s="27" t="n">
        <x:v>1</x:v>
      </x:c>
      <x:c r="D392" s="27" t="str">
        <x:v>2200000457</x:v>
      </x:c>
      <x:c r="E392" s="28" t="str">
        <x:v>全国百家重点大型零售企业商品零售额:化妆品:当月同比</x:v>
      </x:c>
      <x:c r="F392" s="28" t="str">
        <x:v>Merchandise Sales of National Hundred Key Large-Scale Enterprise: Cosmetic: YoY</x:v>
      </x:c>
      <x:c r="G392" s="27" t="str">
        <x:v>月</x:v>
      </x:c>
      <x:c r="H392" s="27" t="str">
        <x:v>%</x:v>
      </x:c>
      <x:c r="I392" s="27" t="str">
        <x:v>当期同比</x:v>
      </x:c>
      <x:c r="J392" s="27" t="str"/>
      <x:c r="K392" s="27" t="str">
        <x:v>中国</x:v>
      </x:c>
      <x:c r="L392" s="28" t="str">
        <x:v>中华全国商业信息中心</x:v>
      </x:c>
      <x:c r="M392" s="28" t="str">
        <x:v>getEcoDataIndCommercialtrade</x:v>
      </x:c>
      <x:c r="N392" s="27" t="str">
        <x:v>2011-03-31</x:v>
      </x:c>
      <x:c r="O392" s="27" t="str">
        <x:v>2026-04-30</x:v>
      </x:c>
      <x:c r="P392" s="27" t="str">
        <x:v>持续更新</x:v>
      </x:c>
      <x:c r="Q392" s="27" t="str"/>
      <x:c r="R392" s="28" t="str"/>
    </x:row>
    <x:row r="393" ht="48" customHeight="1">
      <x:c r="A393" s="27" t="str">
        <x:v>801200</x:v>
      </x:c>
      <x:c r="B393" s="27" t="str">
        <x:v>商贸零售</x:v>
      </x:c>
      <x:c r="C393" s="27" t="n">
        <x:v>2</x:v>
      </x:c>
      <x:c r="D393" s="27" t="str">
        <x:v>2200000460</x:v>
      </x:c>
      <x:c r="E393" s="28" t="str">
        <x:v>全国百家重点大型零售企业商品零售额:家用电器:当月同比</x:v>
      </x:c>
      <x:c r="F393" s="28" t="str">
        <x:v>Merchandise Sales of National Hundred Key Large-Scale Enterprise: Household Appliances: YoY</x:v>
      </x:c>
      <x:c r="G393" s="27" t="str">
        <x:v>月</x:v>
      </x:c>
      <x:c r="H393" s="27" t="str">
        <x:v>%</x:v>
      </x:c>
      <x:c r="I393" s="27" t="str">
        <x:v>当期同比</x:v>
      </x:c>
      <x:c r="J393" s="27" t="str"/>
      <x:c r="K393" s="27" t="str">
        <x:v>中国</x:v>
      </x:c>
      <x:c r="L393" s="28" t="str">
        <x:v>中华全国商业信息中心</x:v>
      </x:c>
      <x:c r="M393" s="28" t="str">
        <x:v>getEcoDataIndCommercialtrade</x:v>
      </x:c>
      <x:c r="N393" s="27" t="str">
        <x:v>2007-04-30</x:v>
      </x:c>
      <x:c r="O393" s="27" t="str">
        <x:v>2026-03-31</x:v>
      </x:c>
      <x:c r="P393" s="27" t="str">
        <x:v>持续更新</x:v>
      </x:c>
      <x:c r="Q393" s="27" t="str"/>
      <x:c r="R393" s="28" t="str"/>
    </x:row>
    <x:row r="394" ht="48" customHeight="1">
      <x:c r="A394" s="27" t="str">
        <x:v>801200</x:v>
      </x:c>
      <x:c r="B394" s="27" t="str">
        <x:v>商贸零售</x:v>
      </x:c>
      <x:c r="C394" s="27" t="n">
        <x:v>3</x:v>
      </x:c>
      <x:c r="D394" s="27" t="str">
        <x:v>2200000454</x:v>
      </x:c>
      <x:c r="E394" s="28" t="str">
        <x:v>全国百家重点大型零售企业商品零售额:当月同比</x:v>
      </x:c>
      <x:c r="F394" s="28" t="str">
        <x:v>Merchandise Sales of National Hundred Key Large-Scale Enterprise: YoY</x:v>
      </x:c>
      <x:c r="G394" s="27" t="str">
        <x:v>月</x:v>
      </x:c>
      <x:c r="H394" s="27" t="str">
        <x:v>%</x:v>
      </x:c>
      <x:c r="I394" s="27" t="str">
        <x:v>当期同比</x:v>
      </x:c>
      <x:c r="J394" s="27" t="str"/>
      <x:c r="K394" s="27" t="str">
        <x:v>中国</x:v>
      </x:c>
      <x:c r="L394" s="28" t="str">
        <x:v>中华全国商业信息中心</x:v>
      </x:c>
      <x:c r="M394" s="28" t="str">
        <x:v>getEcoDataIndCommercialtrade</x:v>
      </x:c>
      <x:c r="N394" s="27" t="str">
        <x:v>2007-04-30</x:v>
      </x:c>
      <x:c r="O394" s="27" t="str">
        <x:v>2026-06-30</x:v>
      </x:c>
      <x:c r="P394" s="27" t="str">
        <x:v>持续更新</x:v>
      </x:c>
      <x:c r="Q394" s="27" t="str"/>
      <x:c r="R394" s="28" t="str"/>
    </x:row>
    <x:row r="395" ht="48" customHeight="1">
      <x:c r="A395" s="27" t="str">
        <x:v>801200</x:v>
      </x:c>
      <x:c r="B395" s="27" t="str">
        <x:v>商贸零售</x:v>
      </x:c>
      <x:c r="C395" s="27" t="n">
        <x:v>4</x:v>
      </x:c>
      <x:c r="D395" s="27" t="str">
        <x:v>2200000458</x:v>
      </x:c>
      <x:c r="E395" s="28" t="str">
        <x:v>全国百家重点大型零售企业商品零售额:日用品:当月同比</x:v>
      </x:c>
      <x:c r="F395" s="28" t="str">
        <x:v>Merchandise Sales of National Hundred Key Large-Scale Enterprise: Commodity: YoY</x:v>
      </x:c>
      <x:c r="G395" s="27" t="str">
        <x:v>月</x:v>
      </x:c>
      <x:c r="H395" s="27" t="str">
        <x:v>%</x:v>
      </x:c>
      <x:c r="I395" s="27" t="str">
        <x:v>当期同比</x:v>
      </x:c>
      <x:c r="J395" s="27" t="str"/>
      <x:c r="K395" s="27" t="str">
        <x:v>中国</x:v>
      </x:c>
      <x:c r="L395" s="28" t="str">
        <x:v>中华全国商业信息中心</x:v>
      </x:c>
      <x:c r="M395" s="28" t="str">
        <x:v>getEcoDataIndCommercialtrade</x:v>
      </x:c>
      <x:c r="N395" s="27" t="str">
        <x:v>2011-03-31</x:v>
      </x:c>
      <x:c r="O395" s="27" t="str">
        <x:v>2026-04-30</x:v>
      </x:c>
      <x:c r="P395" s="27" t="str">
        <x:v>持续更新</x:v>
      </x:c>
      <x:c r="Q395" s="27" t="str"/>
      <x:c r="R395" s="28" t="str"/>
    </x:row>
    <x:row r="396" ht="48" customHeight="1">
      <x:c r="A396" s="27" t="str">
        <x:v>801200</x:v>
      </x:c>
      <x:c r="B396" s="27" t="str">
        <x:v>商贸零售</x:v>
      </x:c>
      <x:c r="C396" s="27" t="n">
        <x:v>5</x:v>
      </x:c>
      <x:c r="D396" s="27" t="str">
        <x:v>2200000459</x:v>
      </x:c>
      <x:c r="E396" s="28" t="str">
        <x:v>全国百家重点大型零售企业商品零售额:金银珠宝:当月同比</x:v>
      </x:c>
      <x:c r="F396" s="28" t="str">
        <x:v>Merchandise Sales of National Hundred Key Large-Scale Enterprise: Gold and Silver Jewelry: YoY</x:v>
      </x:c>
      <x:c r="G396" s="27" t="str">
        <x:v>月</x:v>
      </x:c>
      <x:c r="H396" s="27" t="str">
        <x:v>%</x:v>
      </x:c>
      <x:c r="I396" s="27" t="str">
        <x:v>当期同比</x:v>
      </x:c>
      <x:c r="J396" s="27" t="str"/>
      <x:c r="K396" s="27" t="str">
        <x:v>中国</x:v>
      </x:c>
      <x:c r="L396" s="28" t="str">
        <x:v>中华全国商业信息中心</x:v>
      </x:c>
      <x:c r="M396" s="28" t="str">
        <x:v>getEcoDataIndCommercialtrade</x:v>
      </x:c>
      <x:c r="N396" s="27" t="str">
        <x:v>2007-04-30</x:v>
      </x:c>
      <x:c r="O396" s="27" t="str">
        <x:v>2026-05-31</x:v>
      </x:c>
      <x:c r="P396" s="27" t="str">
        <x:v>持续更新</x:v>
      </x:c>
      <x:c r="Q396" s="27" t="str"/>
      <x:c r="R396" s="28" t="str"/>
    </x:row>
    <x:row r="397" ht="48" customHeight="1">
      <x:c r="A397" s="27" t="str">
        <x:v>801200</x:v>
      </x:c>
      <x:c r="B397" s="27" t="str">
        <x:v>商贸零售</x:v>
      </x:c>
      <x:c r="C397" s="27" t="n">
        <x:v>6</x:v>
      </x:c>
      <x:c r="D397" s="27" t="str">
        <x:v>2200000455</x:v>
      </x:c>
      <x:c r="E397" s="28" t="str">
        <x:v>全国百家重点大型零售企业商品零售额:食品:当月同比</x:v>
      </x:c>
      <x:c r="F397" s="28" t="str">
        <x:v>Merchandise Sales of National Hundred Key Large-Scale Enterprise: Food: YoY</x:v>
      </x:c>
      <x:c r="G397" s="27" t="str">
        <x:v>月</x:v>
      </x:c>
      <x:c r="H397" s="27" t="str">
        <x:v>%</x:v>
      </x:c>
      <x:c r="I397" s="27" t="str">
        <x:v>当期同比</x:v>
      </x:c>
      <x:c r="J397" s="27" t="str"/>
      <x:c r="K397" s="27" t="str">
        <x:v>中国</x:v>
      </x:c>
      <x:c r="L397" s="28" t="str">
        <x:v>中华全国商业信息中心</x:v>
      </x:c>
      <x:c r="M397" s="28" t="str">
        <x:v>getEcoDataIndCommercialtrade</x:v>
      </x:c>
      <x:c r="N397" s="27" t="str">
        <x:v>2007-04-30</x:v>
      </x:c>
      <x:c r="O397" s="27" t="str">
        <x:v>2026-04-30</x:v>
      </x:c>
      <x:c r="P397" s="27" t="str">
        <x:v>持续更新</x:v>
      </x:c>
      <x:c r="Q397" s="27" t="str"/>
      <x:c r="R397" s="28" t="str"/>
    </x:row>
    <x:row r="398" ht="48" customHeight="1">
      <x:c r="A398" s="27" t="str">
        <x:v>801200</x:v>
      </x:c>
      <x:c r="B398" s="27" t="str">
        <x:v>商贸零售</x:v>
      </x:c>
      <x:c r="C398" s="27" t="n">
        <x:v>7</x:v>
      </x:c>
      <x:c r="D398" s="27" t="str">
        <x:v>1050000370</x:v>
      </x:c>
      <x:c r="E398" s="28" t="str">
        <x:v>固定资产投资完成额:批发和零售业:累计同比</x:v>
      </x:c>
      <x:c r="F398" s="28" t="str">
        <x:v>Fixed Assets Investment Realized: Cumulative YoY: Wholesale and Retail</x:v>
      </x:c>
      <x:c r="G398" s="27" t="str">
        <x:v>月</x:v>
      </x:c>
      <x:c r="H398" s="27" t="str">
        <x:v>%</x:v>
      </x:c>
      <x:c r="I398" s="27" t="str">
        <x:v>累计同比</x:v>
      </x:c>
      <x:c r="J398" s="27" t="str">
        <x:v>全国</x:v>
      </x:c>
      <x:c r="K398" s="27" t="str">
        <x:v>中国</x:v>
      </x:c>
      <x:c r="L398" s="28" t="str">
        <x:v>国家统计局</x:v>
      </x:c>
      <x:c r="M398" s="28" t="str">
        <x:v>getEcoDataChina</x:v>
      </x:c>
      <x:c r="N398" s="27" t="str">
        <x:v>2004-02-29</x:v>
      </x:c>
      <x:c r="O398" s="27" t="str">
        <x:v>2026-06-30</x:v>
      </x:c>
      <x:c r="P398" s="27" t="str">
        <x:v>持续更新</x:v>
      </x:c>
      <x:c r="Q398" s="27" t="str"/>
      <x:c r="R398" s="28" t="str"/>
    </x:row>
    <x:row r="399" ht="48" customHeight="1">
      <x:c r="A399" s="27" t="str">
        <x:v>801200</x:v>
      </x:c>
      <x:c r="B399" s="27" t="str">
        <x:v>商贸零售</x:v>
      </x:c>
      <x:c r="C399" s="27" t="n">
        <x:v>8</x:v>
      </x:c>
      <x:c r="D399" s="27" t="str">
        <x:v>1010008421</x:v>
      </x:c>
      <x:c r="E399" s="28" t="str">
        <x:v>GDP:不变价:批发和零售业:当季同比</x:v>
      </x:c>
      <x:c r="F399" s="28" t="str">
        <x:v>GDP: at Constant Price: Wholesale and Retail Trades: Current Quarter YoY</x:v>
      </x:c>
      <x:c r="G399" s="27" t="str">
        <x:v>季</x:v>
      </x:c>
      <x:c r="H399" s="27" t="str">
        <x:v>%</x:v>
      </x:c>
      <x:c r="I399" s="27" t="str">
        <x:v>当期同比</x:v>
      </x:c>
      <x:c r="J399" s="27" t="str">
        <x:v>全国</x:v>
      </x:c>
      <x:c r="K399" s="27" t="str">
        <x:v>中国</x:v>
      </x:c>
      <x:c r="L399" s="28" t="str">
        <x:v>国家统计局</x:v>
      </x:c>
      <x:c r="M399" s="28" t="str">
        <x:v>getEcoDataChina</x:v>
      </x:c>
      <x:c r="N399" s="27" t="str">
        <x:v>1993-03-31</x:v>
      </x:c>
      <x:c r="O399" s="27" t="str">
        <x:v>2026-06-30</x:v>
      </x:c>
      <x:c r="P399" s="27" t="str">
        <x:v>持续更新</x:v>
      </x:c>
      <x:c r="Q399" s="27" t="str"/>
      <x:c r="R399" s="28" t="str"/>
    </x:row>
    <x:row r="400" ht="48" customHeight="1">
      <x:c r="A400" s="27" t="str">
        <x:v>801200</x:v>
      </x:c>
      <x:c r="B400" s="27" t="str">
        <x:v>商贸零售</x:v>
      </x:c>
      <x:c r="C400" s="27" t="n">
        <x:v>9</x:v>
      </x:c>
      <x:c r="D400" s="27" t="str">
        <x:v>1010000025</x:v>
      </x:c>
      <x:c r="E400" s="28" t="str">
        <x:v>GDP:不变价:批发和零售业:累计同比</x:v>
      </x:c>
      <x:c r="F400" s="28" t="str">
        <x:v>GDP: at Constant Price: Wholesale and Retail Trades: Cumulative YoY</x:v>
      </x:c>
      <x:c r="G400" s="27" t="str">
        <x:v>季</x:v>
      </x:c>
      <x:c r="H400" s="27" t="str">
        <x:v>%</x:v>
      </x:c>
      <x:c r="I400" s="27" t="str">
        <x:v>累计同比</x:v>
      </x:c>
      <x:c r="J400" s="27" t="str">
        <x:v>全国</x:v>
      </x:c>
      <x:c r="K400" s="27" t="str">
        <x:v>中国</x:v>
      </x:c>
      <x:c r="L400" s="28" t="str">
        <x:v>国家统计局</x:v>
      </x:c>
      <x:c r="M400" s="28" t="str">
        <x:v>getEcoDataChina</x:v>
      </x:c>
      <x:c r="N400" s="27" t="str">
        <x:v>1953-12-31</x:v>
      </x:c>
      <x:c r="O400" s="27" t="str">
        <x:v>2026-06-30</x:v>
      </x:c>
      <x:c r="P400" s="27" t="str">
        <x:v>持续更新</x:v>
      </x:c>
      <x:c r="Q400" s="27" t="str"/>
      <x:c r="R400" s="28" t="str"/>
    </x:row>
    <x:row r="401" ht="48" customHeight="1">
      <x:c r="A401" s="27" t="str">
        <x:v>801200</x:v>
      </x:c>
      <x:c r="B401" s="27" t="str">
        <x:v>商贸零售</x:v>
      </x:c>
      <x:c r="C401" s="27" t="n">
        <x:v>10</x:v>
      </x:c>
      <x:c r="D401" s="27" t="str">
        <x:v>1010017950</x:v>
      </x:c>
      <x:c r="E401" s="28" t="str">
        <x:v>GDP:现价:初步核算数:批发和零售业:当季同比</x:v>
      </x:c>
      <x:c r="F401" s="28" t="str">
        <x:v>GDP: at Current Price: Preliminary Accounting Results: Wholesale and Retail Trades: Current Quarter YoY</x:v>
      </x:c>
      <x:c r="G401" s="27" t="str">
        <x:v>季</x:v>
      </x:c>
      <x:c r="H401" s="27" t="str">
        <x:v>%</x:v>
      </x:c>
      <x:c r="I401" s="27" t="str">
        <x:v>初值同比</x:v>
      </x:c>
      <x:c r="J401" s="27" t="str">
        <x:v>全国</x:v>
      </x:c>
      <x:c r="K401" s="27" t="str">
        <x:v>中国</x:v>
      </x:c>
      <x:c r="L401" s="28" t="str">
        <x:v>Datayes!</x:v>
      </x:c>
      <x:c r="M401" s="28" t="str">
        <x:v>getEcoDataChina</x:v>
      </x:c>
      <x:c r="N401" s="27" t="str">
        <x:v>2016-09-30</x:v>
      </x:c>
      <x:c r="O401" s="27" t="str">
        <x:v>2026-06-30</x:v>
      </x:c>
      <x:c r="P401" s="27" t="str">
        <x:v>持续更新</x:v>
      </x:c>
      <x:c r="Q401" s="27" t="str"/>
      <x:c r="R401" s="28" t="str"/>
    </x:row>
    <x:row r="402" ht="48" customHeight="1">
      <x:c r="A402" s="27" t="str">
        <x:v>801200</x:v>
      </x:c>
      <x:c r="B402" s="27" t="str">
        <x:v>商贸零售</x:v>
      </x:c>
      <x:c r="C402" s="27" t="n">
        <x:v>11</x:v>
      </x:c>
      <x:c r="D402" s="27" t="str">
        <x:v>1010017977</x:v>
      </x:c>
      <x:c r="E402" s="28" t="str">
        <x:v>GDP:现价:初步核算数:批发和零售业:累计同比</x:v>
      </x:c>
      <x:c r="F402" s="28" t="str">
        <x:v>GDP: at Current Price: Preliminary Accounting Results: Wholesale and Retail Trades: Cumulative YoY</x:v>
      </x:c>
      <x:c r="G402" s="27" t="str">
        <x:v>季</x:v>
      </x:c>
      <x:c r="H402" s="27" t="str">
        <x:v>%</x:v>
      </x:c>
      <x:c r="I402" s="27" t="str">
        <x:v>累计同比(初值)</x:v>
      </x:c>
      <x:c r="J402" s="27" t="str">
        <x:v>全国</x:v>
      </x:c>
      <x:c r="K402" s="27" t="str">
        <x:v>中国</x:v>
      </x:c>
      <x:c r="L402" s="28" t="str">
        <x:v>Datayes!</x:v>
      </x:c>
      <x:c r="M402" s="28" t="str">
        <x:v>getEcoDataChina</x:v>
      </x:c>
      <x:c r="N402" s="27" t="str">
        <x:v>2013-09-30</x:v>
      </x:c>
      <x:c r="O402" s="27" t="str">
        <x:v>2026-06-30</x:v>
      </x:c>
      <x:c r="P402" s="27" t="str">
        <x:v>持续更新</x:v>
      </x:c>
      <x:c r="Q402" s="27" t="str"/>
      <x:c r="R402" s="28" t="str"/>
    </x:row>
    <x:row r="403" ht="48" customHeight="1">
      <x:c r="A403" s="27" t="str">
        <x:v>801200</x:v>
      </x:c>
      <x:c r="B403" s="27" t="str">
        <x:v>商贸零售</x:v>
      </x:c>
      <x:c r="C403" s="27" t="n">
        <x:v>12</x:v>
      </x:c>
      <x:c r="D403" s="27" t="str">
        <x:v>1010015487</x:v>
      </x:c>
      <x:c r="E403" s="28" t="str">
        <x:v>GDP:现价:批发和零售业:当季同比</x:v>
      </x:c>
      <x:c r="F403" s="28" t="str">
        <x:v>GDP: at Current Price: Wholesale and Retail Trades: Current Quarter YoY</x:v>
      </x:c>
      <x:c r="G403" s="27" t="str">
        <x:v>季</x:v>
      </x:c>
      <x:c r="H403" s="27" t="str">
        <x:v>%</x:v>
      </x:c>
      <x:c r="I403" s="27" t="str">
        <x:v>当期同比</x:v>
      </x:c>
      <x:c r="J403" s="27" t="str">
        <x:v>全国</x:v>
      </x:c>
      <x:c r="K403" s="27" t="str">
        <x:v>中国</x:v>
      </x:c>
      <x:c r="L403" s="28" t="str">
        <x:v>Datayes!</x:v>
      </x:c>
      <x:c r="M403" s="28" t="str">
        <x:v>getEcoDataChina</x:v>
      </x:c>
      <x:c r="N403" s="27" t="str">
        <x:v>1993-03-31</x:v>
      </x:c>
      <x:c r="O403" s="27" t="str">
        <x:v>2026-06-30</x:v>
      </x:c>
      <x:c r="P403" s="27" t="str">
        <x:v>持续更新</x:v>
      </x:c>
      <x:c r="Q403" s="27" t="str"/>
      <x:c r="R403" s="28" t="str"/>
    </x:row>
    <x:row r="404" ht="48" customHeight="1">
      <x:c r="A404" s="27" t="str">
        <x:v>801200</x:v>
      </x:c>
      <x:c r="B404" s="27" t="str">
        <x:v>商贸零售</x:v>
      </x:c>
      <x:c r="C404" s="27" t="n">
        <x:v>13</x:v>
      </x:c>
      <x:c r="D404" s="27" t="str">
        <x:v>1010015488</x:v>
      </x:c>
      <x:c r="E404" s="28" t="str">
        <x:v>GDP:现价:批发和零售业:累计同比</x:v>
      </x:c>
      <x:c r="F404" s="28" t="str">
        <x:v>GDP: at Current Price: Wholesale and Retail Trades: Cumulative YoY</x:v>
      </x:c>
      <x:c r="G404" s="27" t="str">
        <x:v>季</x:v>
      </x:c>
      <x:c r="H404" s="27" t="str">
        <x:v>%</x:v>
      </x:c>
      <x:c r="I404" s="27" t="str">
        <x:v>累计同比</x:v>
      </x:c>
      <x:c r="J404" s="27" t="str">
        <x:v>全国</x:v>
      </x:c>
      <x:c r="K404" s="27" t="str">
        <x:v>中国</x:v>
      </x:c>
      <x:c r="L404" s="28" t="str">
        <x:v>Datayes!</x:v>
      </x:c>
      <x:c r="M404" s="28" t="str">
        <x:v>getEcoDataChina</x:v>
      </x:c>
      <x:c r="N404" s="27" t="str">
        <x:v>1953-12-31</x:v>
      </x:c>
      <x:c r="O404" s="27" t="str">
        <x:v>2026-06-30</x:v>
      </x:c>
      <x:c r="P404" s="27" t="str">
        <x:v>持续更新</x:v>
      </x:c>
      <x:c r="Q404" s="27" t="str"/>
      <x:c r="R404" s="28" t="str"/>
    </x:row>
    <x:row r="405" ht="48" customHeight="1">
      <x:c r="A405" s="27" t="str">
        <x:v>801200</x:v>
      </x:c>
      <x:c r="B405" s="27" t="str">
        <x:v>商贸零售</x:v>
      </x:c>
      <x:c r="C405" s="27" t="n">
        <x:v>14</x:v>
      </x:c>
      <x:c r="D405" s="27" t="str">
        <x:v>1010014354</x:v>
      </x:c>
      <x:c r="E405" s="28" t="str">
        <x:v>GDP平减指数:批发和零售业:当季同比</x:v>
      </x:c>
      <x:c r="F405" s="28" t="str">
        <x:v>GDP Deflators Index: Wholesale and Retail Trades: Current Quarter YoY</x:v>
      </x:c>
      <x:c r="G405" s="27" t="str">
        <x:v>季</x:v>
      </x:c>
      <x:c r="H405" s="27" t="str">
        <x:v>%</x:v>
      </x:c>
      <x:c r="I405" s="27" t="str">
        <x:v>当期同比</x:v>
      </x:c>
      <x:c r="J405" s="27" t="str">
        <x:v>全国</x:v>
      </x:c>
      <x:c r="K405" s="27" t="str">
        <x:v>中国</x:v>
      </x:c>
      <x:c r="L405" s="28" t="str">
        <x:v>Datayes!</x:v>
      </x:c>
      <x:c r="M405" s="28" t="str">
        <x:v>getEcoDataChina</x:v>
      </x:c>
      <x:c r="N405" s="27" t="str">
        <x:v>1993-03-31</x:v>
      </x:c>
      <x:c r="O405" s="27" t="str">
        <x:v>2026-06-30</x:v>
      </x:c>
      <x:c r="P405" s="27" t="str">
        <x:v>持续更新</x:v>
      </x:c>
      <x:c r="Q405" s="27" t="str"/>
      <x:c r="R405" s="28" t="str"/>
    </x:row>
    <x:row r="406" ht="48" customHeight="1">
      <x:c r="A406" s="27" t="str">
        <x:v>801200</x:v>
      </x:c>
      <x:c r="B406" s="27" t="str">
        <x:v>商贸零售</x:v>
      </x:c>
      <x:c r="C406" s="27" t="n">
        <x:v>15</x:v>
      </x:c>
      <x:c r="D406" s="27" t="str">
        <x:v>1010014342</x:v>
      </x:c>
      <x:c r="E406" s="28" t="str">
        <x:v>GDP平减指数:批发和零售业:累计同比</x:v>
      </x:c>
      <x:c r="F406" s="28" t="str">
        <x:v>GDP Deflators Index: Wholesale and Retail Trades: Cumulative YoY</x:v>
      </x:c>
      <x:c r="G406" s="27" t="str">
        <x:v>季</x:v>
      </x:c>
      <x:c r="H406" s="27" t="str">
        <x:v>%</x:v>
      </x:c>
      <x:c r="I406" s="27" t="str">
        <x:v>累计同比</x:v>
      </x:c>
      <x:c r="J406" s="27" t="str">
        <x:v>全国</x:v>
      </x:c>
      <x:c r="K406" s="27" t="str">
        <x:v>中国</x:v>
      </x:c>
      <x:c r="L406" s="28" t="str">
        <x:v>Datayes!</x:v>
      </x:c>
      <x:c r="M406" s="28" t="str">
        <x:v>getEcoDataChina</x:v>
      </x:c>
      <x:c r="N406" s="27" t="str">
        <x:v>1993-03-31</x:v>
      </x:c>
      <x:c r="O406" s="27" t="str">
        <x:v>2026-06-30</x:v>
      </x:c>
      <x:c r="P406" s="27" t="str">
        <x:v>持续更新</x:v>
      </x:c>
      <x:c r="Q406" s="27" t="str"/>
      <x:c r="R406" s="28" t="str"/>
    </x:row>
    <x:row r="407" ht="48" customHeight="1">
      <x:c r="A407" s="27" t="str">
        <x:v>801200</x:v>
      </x:c>
      <x:c r="B407" s="27" t="str">
        <x:v>商贸零售</x:v>
      </x:c>
      <x:c r="C407" s="27" t="n">
        <x:v>16</x:v>
      </x:c>
      <x:c r="D407" s="27" t="str">
        <x:v>1010000049</x:v>
      </x:c>
      <x:c r="E407" s="28" t="str">
        <x:v>GDP累计同比贡献率:批发和零售业</x:v>
      </x:c>
      <x:c r="F407" s="28" t="str">
        <x:v>Share of the Contributions to the Increase of the Accumulated GDP: Wholesale and Retail Trades</x:v>
      </x:c>
      <x:c r="G407" s="27" t="str">
        <x:v>季</x:v>
      </x:c>
      <x:c r="H407" s="27" t="str">
        <x:v>%</x:v>
      </x:c>
      <x:c r="I407" s="27" t="str">
        <x:v>当期值</x:v>
      </x:c>
      <x:c r="J407" s="27" t="str">
        <x:v>全国</x:v>
      </x:c>
      <x:c r="K407" s="27" t="str">
        <x:v>中国</x:v>
      </x:c>
      <x:c r="L407" s="28" t="str">
        <x:v>Datayes!</x:v>
      </x:c>
      <x:c r="M407" s="28" t="str">
        <x:v>getEcoDataChina</x:v>
      </x:c>
      <x:c r="N407" s="27" t="str">
        <x:v>1993-03-31</x:v>
      </x:c>
      <x:c r="O407" s="27" t="str">
        <x:v>2026-06-30</x:v>
      </x:c>
      <x:c r="P407" s="27" t="str">
        <x:v>持续更新</x:v>
      </x:c>
      <x:c r="Q407" s="27" t="str"/>
      <x:c r="R407" s="28" t="str"/>
    </x:row>
    <x:row r="408" ht="48" customHeight="1">
      <x:c r="A408" s="27" t="str">
        <x:v>801200</x:v>
      </x:c>
      <x:c r="B408" s="27" t="str">
        <x:v>商贸零售</x:v>
      </x:c>
      <x:c r="C408" s="27" t="n">
        <x:v>17</x:v>
      </x:c>
      <x:c r="D408" s="27" t="str">
        <x:v>1010000061</x:v>
      </x:c>
      <x:c r="E408" s="28" t="str">
        <x:v>对GDP累计同比的拉动:批发和零售业</x:v>
      </x:c>
      <x:c r="F408" s="28" t="str">
        <x:v>Contribution to the Accumulated GDP Growth: Wholesale and Retail Trades</x:v>
      </x:c>
      <x:c r="G408" s="27" t="str">
        <x:v>季</x:v>
      </x:c>
      <x:c r="H408" s="27" t="str">
        <x:v>百分点</x:v>
      </x:c>
      <x:c r="I408" s="27" t="str">
        <x:v>当期值</x:v>
      </x:c>
      <x:c r="J408" s="27" t="str">
        <x:v>全国</x:v>
      </x:c>
      <x:c r="K408" s="27" t="str">
        <x:v>中国</x:v>
      </x:c>
      <x:c r="L408" s="28" t="str">
        <x:v>Datayes!</x:v>
      </x:c>
      <x:c r="M408" s="28" t="str">
        <x:v>getEcoDataChina</x:v>
      </x:c>
      <x:c r="N408" s="27" t="str">
        <x:v>1993-03-31</x:v>
      </x:c>
      <x:c r="O408" s="27" t="str">
        <x:v>2026-06-30</x:v>
      </x:c>
      <x:c r="P408" s="27" t="str">
        <x:v>持续更新</x:v>
      </x:c>
      <x:c r="Q408" s="27" t="str"/>
      <x:c r="R408" s="28" t="str"/>
    </x:row>
    <x:row r="409" ht="48" customHeight="1">
      <x:c r="A409" s="27" t="str">
        <x:v>801200</x:v>
      </x:c>
      <x:c r="B409" s="27" t="str">
        <x:v>商贸零售</x:v>
      </x:c>
      <x:c r="C409" s="27" t="n">
        <x:v>18</x:v>
      </x:c>
      <x:c r="D409" s="27" t="str">
        <x:v>1010014281</x:v>
      </x:c>
      <x:c r="E409" s="28" t="str">
        <x:v>GDP指数:批发和零售业:当季值</x:v>
      </x:c>
      <x:c r="F409" s="28" t="str">
        <x:v>Indices of GDP: Wholesale and Retail Trades: Current Quarter Value</x:v>
      </x:c>
      <x:c r="G409" s="27" t="str">
        <x:v>季</x:v>
      </x:c>
      <x:c r="H409" s="27" t="str">
        <x:v>上年同期=100</x:v>
      </x:c>
      <x:c r="I409" s="27" t="str">
        <x:v>当期同比</x:v>
      </x:c>
      <x:c r="J409" s="27" t="str">
        <x:v>全国</x:v>
      </x:c>
      <x:c r="K409" s="27" t="str">
        <x:v>中国</x:v>
      </x:c>
      <x:c r="L409" s="28" t="str">
        <x:v>国家统计局</x:v>
      </x:c>
      <x:c r="M409" s="28" t="str">
        <x:v>getEcoDataChina</x:v>
      </x:c>
      <x:c r="N409" s="27" t="str">
        <x:v>1993-03-31</x:v>
      </x:c>
      <x:c r="O409" s="27" t="str">
        <x:v>2026-06-30</x:v>
      </x:c>
      <x:c r="P409" s="27" t="str">
        <x:v>持续更新</x:v>
      </x:c>
      <x:c r="Q409" s="27" t="str"/>
      <x:c r="R409" s="28" t="str"/>
    </x:row>
    <x:row r="410" ht="48" customHeight="1">
      <x:c r="A410" s="27" t="str">
        <x:v>801200</x:v>
      </x:c>
      <x:c r="B410" s="27" t="str">
        <x:v>商贸零售</x:v>
      </x:c>
      <x:c r="C410" s="27" t="n">
        <x:v>19</x:v>
      </x:c>
      <x:c r="D410" s="27" t="str">
        <x:v>1010014297</x:v>
      </x:c>
      <x:c r="E410" s="28" t="str">
        <x:v>GDP指数:批发和零售业:累计值</x:v>
      </x:c>
      <x:c r="F410" s="28" t="str">
        <x:v>Indices of GDP: Wholesale and Retail Trades: Cumulative Value</x:v>
      </x:c>
      <x:c r="G410" s="27" t="str">
        <x:v>季</x:v>
      </x:c>
      <x:c r="H410" s="27" t="str">
        <x:v>上年同期=100</x:v>
      </x:c>
      <x:c r="I410" s="27" t="str">
        <x:v>累计同比</x:v>
      </x:c>
      <x:c r="J410" s="27" t="str">
        <x:v>全国</x:v>
      </x:c>
      <x:c r="K410" s="27" t="str">
        <x:v>中国</x:v>
      </x:c>
      <x:c r="L410" s="28" t="str">
        <x:v>国家统计局</x:v>
      </x:c>
      <x:c r="M410" s="28" t="str">
        <x:v>getEcoDataChina</x:v>
      </x:c>
      <x:c r="N410" s="27" t="str">
        <x:v>1993-03-31</x:v>
      </x:c>
      <x:c r="O410" s="27" t="str">
        <x:v>2026-06-30</x:v>
      </x:c>
      <x:c r="P410" s="27" t="str">
        <x:v>持续更新</x:v>
      </x:c>
      <x:c r="Q410" s="27" t="str"/>
      <x:c r="R410" s="28" t="str"/>
    </x:row>
    <x:row r="411" ht="48" customHeight="1">
      <x:c r="A411" s="27" t="str">
        <x:v>801200</x:v>
      </x:c>
      <x:c r="B411" s="27" t="str">
        <x:v>商贸零售</x:v>
      </x:c>
      <x:c r="C411" s="27" t="n">
        <x:v>20</x:v>
      </x:c>
      <x:c r="D411" s="27" t="str">
        <x:v>1030000473</x:v>
      </x:c>
      <x:c r="E411" s="28" t="str">
        <x:v>企业景气指数:即期指数:批发和零售业</x:v>
      </x:c>
      <x:c r="F411" s="28" t="str">
        <x:v>Business Climate Index: Current: Wholesale And Retail Trade</x:v>
      </x:c>
      <x:c r="G411" s="27" t="str">
        <x:v>季</x:v>
      </x:c>
      <x:c r="H411" s="27" t="str">
        <x:v>%</x:v>
      </x:c>
      <x:c r="I411" s="27" t="str">
        <x:v>当期值</x:v>
      </x:c>
      <x:c r="J411" s="27" t="str">
        <x:v>全国</x:v>
      </x:c>
      <x:c r="K411" s="27" t="str">
        <x:v>中国</x:v>
      </x:c>
      <x:c r="L411" s="28" t="str">
        <x:v>国家统计局</x:v>
      </x:c>
      <x:c r="M411" s="28" t="str">
        <x:v>getEcoDataChina</x:v>
      </x:c>
      <x:c r="N411" s="27" t="str">
        <x:v>2012-03-31</x:v>
      </x:c>
      <x:c r="O411" s="27" t="str">
        <x:v>2026-06-30</x:v>
      </x:c>
      <x:c r="P411" s="27" t="str">
        <x:v>持续更新</x:v>
      </x:c>
      <x:c r="Q411" s="27" t="str"/>
      <x:c r="R411" s="28" t="str"/>
    </x:row>
    <x:row r="412" ht="48" customHeight="1">
      <x:c r="A412" s="27" t="str">
        <x:v>801200</x:v>
      </x:c>
      <x:c r="B412" s="27" t="str">
        <x:v>商贸零售</x:v>
      </x:c>
      <x:c r="C412" s="27" t="n">
        <x:v>21</x:v>
      </x:c>
      <x:c r="D412" s="27" t="str">
        <x:v>1030000130</x:v>
      </x:c>
      <x:c r="E412" s="28" t="str">
        <x:v>企业景气指数:批发和零售业</x:v>
      </x:c>
      <x:c r="F412" s="28" t="str">
        <x:v>Corporate Boom Index: Wholesale and Retail Trade Industry</x:v>
      </x:c>
      <x:c r="G412" s="27" t="str">
        <x:v>季</x:v>
      </x:c>
      <x:c r="H412" s="27" t="str">
        <x:v>%</x:v>
      </x:c>
      <x:c r="I412" s="27" t="str">
        <x:v>当期值</x:v>
      </x:c>
      <x:c r="J412" s="27" t="str">
        <x:v>全国</x:v>
      </x:c>
      <x:c r="K412" s="27" t="str">
        <x:v>中国</x:v>
      </x:c>
      <x:c r="L412" s="28" t="str">
        <x:v>国家统计局</x:v>
      </x:c>
      <x:c r="M412" s="28" t="str">
        <x:v>getEcoDataChina</x:v>
      </x:c>
      <x:c r="N412" s="27" t="str">
        <x:v>1999-03-31</x:v>
      </x:c>
      <x:c r="O412" s="27" t="str">
        <x:v>2026-06-30</x:v>
      </x:c>
      <x:c r="P412" s="27" t="str">
        <x:v>持续更新</x:v>
      </x:c>
      <x:c r="Q412" s="27" t="str"/>
      <x:c r="R412" s="28" t="str"/>
    </x:row>
    <x:row r="413" ht="48" customHeight="1">
      <x:c r="A413" s="27" t="str">
        <x:v>801200</x:v>
      </x:c>
      <x:c r="B413" s="27" t="str">
        <x:v>商贸零售</x:v>
      </x:c>
      <x:c r="C413" s="27" t="n">
        <x:v>22</x:v>
      </x:c>
      <x:c r="D413" s="27" t="str">
        <x:v>1030000533</x:v>
      </x:c>
      <x:c r="E413" s="28" t="str">
        <x:v>企业景气指数:预期指数:批发和零售业</x:v>
      </x:c>
      <x:c r="F413" s="28" t="str">
        <x:v>Business Climate Index: Expectation: Wholesale And Retail Trade</x:v>
      </x:c>
      <x:c r="G413" s="27" t="str">
        <x:v>季</x:v>
      </x:c>
      <x:c r="H413" s="27" t="str">
        <x:v>%</x:v>
      </x:c>
      <x:c r="I413" s="27" t="str">
        <x:v>当期值</x:v>
      </x:c>
      <x:c r="J413" s="27" t="str">
        <x:v>全国</x:v>
      </x:c>
      <x:c r="K413" s="27" t="str">
        <x:v>中国</x:v>
      </x:c>
      <x:c r="L413" s="28" t="str">
        <x:v>国家统计局</x:v>
      </x:c>
      <x:c r="M413" s="28" t="str">
        <x:v>getEcoDataChina</x:v>
      </x:c>
      <x:c r="N413" s="27" t="str">
        <x:v>2012-03-31</x:v>
      </x:c>
      <x:c r="O413" s="27" t="str">
        <x:v>2026-06-30</x:v>
      </x:c>
      <x:c r="P413" s="27" t="str">
        <x:v>持续更新</x:v>
      </x:c>
      <x:c r="Q413" s="27" t="str"/>
      <x:c r="R413" s="28" t="str"/>
    </x:row>
    <x:row r="414" ht="48" customHeight="1">
      <x:c r="A414" s="27" t="str">
        <x:v>801200</x:v>
      </x:c>
      <x:c r="B414" s="27" t="str">
        <x:v>商贸零售</x:v>
      </x:c>
      <x:c r="C414" s="27" t="n">
        <x:v>23</x:v>
      </x:c>
      <x:c r="D414" s="27" t="str">
        <x:v>1030000169</x:v>
      </x:c>
      <x:c r="E414" s="28" t="str">
        <x:v>大额商品消费意愿比例</x:v>
      </x:c>
      <x:c r="F414" s="28" t="str">
        <x:v>Large Purchasing Intent Ratio</x:v>
      </x:c>
      <x:c r="G414" s="27" t="str">
        <x:v>季</x:v>
      </x:c>
      <x:c r="H414" s="27" t="str">
        <x:v>%</x:v>
      </x:c>
      <x:c r="I414" s="27" t="str">
        <x:v>当期值</x:v>
      </x:c>
      <x:c r="J414" s="27" t="str">
        <x:v>全国</x:v>
      </x:c>
      <x:c r="K414" s="27" t="str">
        <x:v>中国</x:v>
      </x:c>
      <x:c r="L414" s="28" t="str">
        <x:v>中国人民银行</x:v>
      </x:c>
      <x:c r="M414" s="28" t="str">
        <x:v>getEcoDataChina</x:v>
      </x:c>
      <x:c r="N414" s="27" t="str">
        <x:v>2010-12-31</x:v>
      </x:c>
      <x:c r="O414" s="27" t="str">
        <x:v>2025-12-31</x:v>
      </x:c>
      <x:c r="P414" s="27" t="str">
        <x:v>持续更新</x:v>
      </x:c>
      <x:c r="Q414" s="27" t="str"/>
      <x:c r="R414" s="28" t="str"/>
    </x:row>
    <x:row r="415" ht="48" customHeight="1">
      <x:c r="A415" s="27" t="str">
        <x:v>801200</x:v>
      </x:c>
      <x:c r="B415" s="27" t="str">
        <x:v>商贸零售</x:v>
      </x:c>
      <x:c r="C415" s="27" t="n">
        <x:v>24</x:v>
      </x:c>
      <x:c r="D415" s="27" t="str">
        <x:v>1030000164</x:v>
      </x:c>
      <x:c r="E415" s="28" t="str">
        <x:v>消费意愿比例</x:v>
      </x:c>
      <x:c r="F415" s="28" t="str">
        <x:v>Consumption Intention Ratio</x:v>
      </x:c>
      <x:c r="G415" s="27" t="str">
        <x:v>季</x:v>
      </x:c>
      <x:c r="H415" s="27" t="str">
        <x:v>%</x:v>
      </x:c>
      <x:c r="I415" s="27" t="str">
        <x:v>当期值</x:v>
      </x:c>
      <x:c r="J415" s="27" t="str">
        <x:v>全国</x:v>
      </x:c>
      <x:c r="K415" s="27" t="str">
        <x:v>中国</x:v>
      </x:c>
      <x:c r="L415" s="28" t="str">
        <x:v>中国人民银行</x:v>
      </x:c>
      <x:c r="M415" s="28" t="str">
        <x:v>getEcoDataChina</x:v>
      </x:c>
      <x:c r="N415" s="27" t="str">
        <x:v>2009-03-31</x:v>
      </x:c>
      <x:c r="O415" s="27" t="str">
        <x:v>2025-12-31</x:v>
      </x:c>
      <x:c r="P415" s="27" t="str">
        <x:v>持续更新</x:v>
      </x:c>
      <x:c r="Q415" s="27" t="str"/>
      <x:c r="R415" s="28" t="str"/>
    </x:row>
    <x:row r="416" ht="48" customHeight="1">
      <x:c r="A416" s="27" t="str">
        <x:v>801200</x:v>
      </x:c>
      <x:c r="B416" s="27" t="str">
        <x:v>商贸零售</x:v>
      </x:c>
      <x:c r="C416" s="27" t="n">
        <x:v>25</x:v>
      </x:c>
      <x:c r="D416" s="27" t="str">
        <x:v>1030002264</x:v>
      </x:c>
      <x:c r="E416" s="28" t="str">
        <x:v>消费者信心指数</x:v>
      </x:c>
      <x:c r="F416" s="28" t="str">
        <x:v>Consumer Confidence Index</x:v>
      </x:c>
      <x:c r="G416" s="27" t="str">
        <x:v>季</x:v>
      </x:c>
      <x:c r="H416" s="27" t="str">
        <x:v>%</x:v>
      </x:c>
      <x:c r="I416" s="27" t="str">
        <x:v>当期值</x:v>
      </x:c>
      <x:c r="J416" s="27" t="str">
        <x:v>全国</x:v>
      </x:c>
      <x:c r="K416" s="27" t="str">
        <x:v>中国</x:v>
      </x:c>
      <x:c r="L416" s="28" t="str">
        <x:v>Datayes!</x:v>
      </x:c>
      <x:c r="M416" s="28" t="str">
        <x:v>getEcoDataChina</x:v>
      </x:c>
      <x:c r="N416" s="27" t="str">
        <x:v>1998-09-30</x:v>
      </x:c>
      <x:c r="O416" s="27" t="str">
        <x:v>2026-06-30</x:v>
      </x:c>
      <x:c r="P416" s="27" t="str">
        <x:v>持续更新</x:v>
      </x:c>
      <x:c r="Q416" s="27" t="str"/>
      <x:c r="R416" s="28" t="str"/>
    </x:row>
    <x:row r="417" ht="48" customHeight="1">
      <x:c r="A417" s="27" t="str">
        <x:v>801200</x:v>
      </x:c>
      <x:c r="B417" s="27" t="str">
        <x:v>商贸零售</x:v>
      </x:c>
      <x:c r="C417" s="27" t="n">
        <x:v>26</x:v>
      </x:c>
      <x:c r="D417" s="27" t="str">
        <x:v>3240008663</x:v>
      </x:c>
      <x:c r="E417" s="28" t="str">
        <x:v>OECD消费者信心指数:幅度调节型:G7</x:v>
      </x:c>
      <x:c r="F417" s="28" t="str">
        <x:v>OECD Standardised CCI: Amplitude Adjusted: G7</x:v>
      </x:c>
      <x:c r="G417" s="27" t="str">
        <x:v>月</x:v>
      </x:c>
      <x:c r="H417" s="27" t="str">
        <x:v>长期平均=100</x:v>
      </x:c>
      <x:c r="I417" s="27" t="str">
        <x:v>季调</x:v>
      </x:c>
      <x:c r="J417" s="27" t="str"/>
      <x:c r="K417" s="27" t="str">
        <x:v>G7国家</x:v>
      </x:c>
      <x:c r="L417" s="28" t="str">
        <x:v>OECD</x:v>
      </x:c>
      <x:c r="M417" s="28" t="str">
        <x:v>getEcoDataGlobeRest</x:v>
      </x:c>
      <x:c r="N417" s="27" t="str">
        <x:v>1973-01-31</x:v>
      </x:c>
      <x:c r="O417" s="27" t="str">
        <x:v>2026-06-30</x:v>
      </x:c>
      <x:c r="P417" s="27" t="str">
        <x:v>持续更新</x:v>
      </x:c>
      <x:c r="Q417" s="27" t="str"/>
      <x:c r="R417" s="28" t="str"/>
    </x:row>
    <x:row r="418" ht="48" customHeight="1">
      <x:c r="A418" s="27" t="str">
        <x:v>801200</x:v>
      </x:c>
      <x:c r="B418" s="27" t="str">
        <x:v>商贸零售</x:v>
      </x:c>
      <x:c r="C418" s="27" t="n">
        <x:v>27</x:v>
      </x:c>
      <x:c r="D418" s="27" t="str">
        <x:v>3240008670</x:v>
      </x:c>
      <x:c r="E418" s="28" t="str">
        <x:v>OECD消费者信心指数:幅度调节型:中国</x:v>
      </x:c>
      <x:c r="F418" s="28" t="str">
        <x:v>OECD Standardised CCI: Amplitude Adjusted: China (People's Republic of)</x:v>
      </x:c>
      <x:c r="G418" s="27" t="str">
        <x:v>月</x:v>
      </x:c>
      <x:c r="H418" s="27" t="str">
        <x:v>长期平均=100</x:v>
      </x:c>
      <x:c r="I418" s="27" t="str">
        <x:v>季调</x:v>
      </x:c>
      <x:c r="J418" s="27" t="str"/>
      <x:c r="K418" s="27" t="str">
        <x:v>中国</x:v>
      </x:c>
      <x:c r="L418" s="28" t="str">
        <x:v>OECD</x:v>
      </x:c>
      <x:c r="M418" s="28" t="str">
        <x:v>getEcoDataGlobeRest</x:v>
      </x:c>
      <x:c r="N418" s="27" t="str">
        <x:v>1990-01-31</x:v>
      </x:c>
      <x:c r="O418" s="27" t="str">
        <x:v>2026-03-31</x:v>
      </x:c>
      <x:c r="P418" s="27" t="str">
        <x:v>持续更新</x:v>
      </x:c>
      <x:c r="Q418" s="27" t="str"/>
      <x:c r="R418" s="28" t="str"/>
    </x:row>
    <x:row r="419" ht="48" customHeight="1">
      <x:c r="A419" s="27" t="str">
        <x:v>801200</x:v>
      </x:c>
      <x:c r="B419" s="27" t="str">
        <x:v>商贸零售</x:v>
      </x:c>
      <x:c r="C419" s="27" t="n">
        <x:v>28</x:v>
      </x:c>
      <x:c r="D419" s="27" t="str">
        <x:v>3240008682</x:v>
      </x:c>
      <x:c r="E419" s="28" t="str">
        <x:v>OECD消费者信心指数:幅度调节型:丹麦</x:v>
      </x:c>
      <x:c r="F419" s="28" t="str">
        <x:v>OECD Standardised CCI: Amplitude Adjusted: Denmark</x:v>
      </x:c>
      <x:c r="G419" s="27" t="str">
        <x:v>月</x:v>
      </x:c>
      <x:c r="H419" s="27" t="str">
        <x:v>长期平均=100</x:v>
      </x:c>
      <x:c r="I419" s="27" t="str">
        <x:v>季调</x:v>
      </x:c>
      <x:c r="J419" s="27" t="str"/>
      <x:c r="K419" s="27" t="str">
        <x:v>丹麦</x:v>
      </x:c>
      <x:c r="L419" s="28" t="str">
        <x:v>OECD</x:v>
      </x:c>
      <x:c r="M419" s="28" t="str">
        <x:v>getEcoDataGlobeRest</x:v>
      </x:c>
      <x:c r="N419" s="27" t="str">
        <x:v>1974-01-31</x:v>
      </x:c>
      <x:c r="O419" s="27" t="str">
        <x:v>2026-06-30</x:v>
      </x:c>
      <x:c r="P419" s="27" t="str">
        <x:v>持续更新</x:v>
      </x:c>
      <x:c r="Q419" s="27" t="str"/>
      <x:c r="R419" s="28" t="str"/>
    </x:row>
    <x:row r="420" ht="48" customHeight="1">
      <x:c r="A420" s="27" t="str">
        <x:v>801200</x:v>
      </x:c>
      <x:c r="B420" s="27" t="str">
        <x:v>商贸零售</x:v>
      </x:c>
      <x:c r="C420" s="27" t="n">
        <x:v>29</x:v>
      </x:c>
      <x:c r="D420" s="27" t="str">
        <x:v>3240008664</x:v>
      </x:c>
      <x:c r="E420" s="28" t="str">
        <x:v>OECD消费者信心指数:幅度调节型:五个主要亚洲国家</x:v>
      </x:c>
      <x:c r="F420" s="28" t="str">
        <x:v>OECD Standardised CCI: Amplitude Adjusted: Major Five Asia</x:v>
      </x:c>
      <x:c r="G420" s="27" t="str">
        <x:v>月</x:v>
      </x:c>
      <x:c r="H420" s="27" t="str">
        <x:v>长期平均=100</x:v>
      </x:c>
      <x:c r="I420" s="27" t="str">
        <x:v>季调</x:v>
      </x:c>
      <x:c r="J420" s="27" t="str"/>
      <x:c r="K420" s="27" t="str"/>
      <x:c r="L420" s="28" t="str">
        <x:v>OECD</x:v>
      </x:c>
      <x:c r="M420" s="28" t="str">
        <x:v>getEcoDataGlobeRest</x:v>
      </x:c>
      <x:c r="N420" s="27" t="str">
        <x:v>1990-01-31</x:v>
      </x:c>
      <x:c r="O420" s="27" t="str">
        <x:v>2026-04-30</x:v>
      </x:c>
      <x:c r="P420" s="27" t="str">
        <x:v>持续更新</x:v>
      </x:c>
      <x:c r="Q420" s="27" t="str"/>
      <x:c r="R420" s="28" t="str"/>
    </x:row>
    <x:row r="421" ht="48" customHeight="1">
      <x:c r="A421" s="27" t="str">
        <x:v>801200</x:v>
      </x:c>
      <x:c r="B421" s="27" t="str">
        <x:v>商贸零售</x:v>
      </x:c>
      <x:c r="C421" s="27" t="n">
        <x:v>30</x:v>
      </x:c>
      <x:c r="D421" s="27" t="str">
        <x:v>3240008705</x:v>
      </x:c>
      <x:c r="E421" s="28" t="str">
        <x:v>OECD消费者信心指数:幅度调节型:以色列</x:v>
      </x:c>
      <x:c r="F421" s="28" t="str">
        <x:v>OECD Standardised CCI: Amplitude Adjusted: Israel</x:v>
      </x:c>
      <x:c r="G421" s="27" t="str">
        <x:v>月</x:v>
      </x:c>
      <x:c r="H421" s="27" t="str">
        <x:v>长期平均=100</x:v>
      </x:c>
      <x:c r="I421" s="27" t="str">
        <x:v>季调</x:v>
      </x:c>
      <x:c r="J421" s="27" t="str"/>
      <x:c r="K421" s="27" t="str">
        <x:v>以色列</x:v>
      </x:c>
      <x:c r="L421" s="28" t="str">
        <x:v>OECD</x:v>
      </x:c>
      <x:c r="M421" s="28" t="str">
        <x:v>getEcoDataGlobeRest</x:v>
      </x:c>
      <x:c r="N421" s="27" t="str">
        <x:v>2011-03-31</x:v>
      </x:c>
      <x:c r="O421" s="27" t="str">
        <x:v>2026-04-30</x:v>
      </x:c>
      <x:c r="P421" s="27" t="str">
        <x:v>持续更新</x:v>
      </x:c>
      <x:c r="Q421" s="27" t="str"/>
      <x:c r="R421" s="28" t="str"/>
    </x:row>
    <x:row r="422" ht="48" customHeight="1">
      <x:c r="A422" s="27" t="str">
        <x:v>801210</x:v>
      </x:c>
      <x:c r="B422" s="27" t="str">
        <x:v>社会服务</x:v>
      </x:c>
      <x:c r="C422" s="27" t="n">
        <x:v>1</x:v>
      </x:c>
      <x:c r="D422" s="27" t="str">
        <x:v>2180708870</x:v>
      </x:c>
      <x:c r="E422" s="28" t="str">
        <x:v>国内旅游人数:累计值</x:v>
      </x:c>
      <x:c r="F422" s="28" t="str">
        <x:v>Number of Domestic Tourists: Cumulative Value</x:v>
      </x:c>
      <x:c r="G422" s="27" t="str">
        <x:v>季</x:v>
      </x:c>
      <x:c r="H422" s="27" t="str">
        <x:v>亿人次</x:v>
      </x:c>
      <x:c r="I422" s="27" t="str">
        <x:v>累计值</x:v>
      </x:c>
      <x:c r="J422" s="27" t="str">
        <x:v>全国</x:v>
      </x:c>
      <x:c r="K422" s="27" t="str">
        <x:v>中国</x:v>
      </x:c>
      <x:c r="L422" s="28" t="str">
        <x:v>中华人民共和国文化和旅游部</x:v>
      </x:c>
      <x:c r="M422" s="28" t="str">
        <x:v>getEcoDataIndCateringtourism</x:v>
      </x:c>
      <x:c r="N422" s="27" t="str">
        <x:v>2002-12-31</x:v>
      </x:c>
      <x:c r="O422" s="27" t="str">
        <x:v>2026-03-31</x:v>
      </x:c>
      <x:c r="P422" s="27" t="str">
        <x:v>持续更新</x:v>
      </x:c>
      <x:c r="Q422" s="27" t="str"/>
      <x:c r="R422" s="28" t="str"/>
    </x:row>
    <x:row r="423" ht="48" customHeight="1">
      <x:c r="A423" s="27" t="str">
        <x:v>801210</x:v>
      </x:c>
      <x:c r="B423" s="27" t="str">
        <x:v>社会服务</x:v>
      </x:c>
      <x:c r="C423" s="27" t="n">
        <x:v>2</x:v>
      </x:c>
      <x:c r="D423" s="27" t="str">
        <x:v>2180708872</x:v>
      </x:c>
      <x:c r="E423" s="28" t="str">
        <x:v>国内旅游人数:累计值:农村居民</x:v>
      </x:c>
      <x:c r="F423" s="28" t="str">
        <x:v>Domestic Tourist Number: Cumulative Value: Rural Resident</x:v>
      </x:c>
      <x:c r="G423" s="27" t="str">
        <x:v>季</x:v>
      </x:c>
      <x:c r="H423" s="27" t="str">
        <x:v>亿人次</x:v>
      </x:c>
      <x:c r="I423" s="27" t="str">
        <x:v>累计值</x:v>
      </x:c>
      <x:c r="J423" s="27" t="str">
        <x:v>全国</x:v>
      </x:c>
      <x:c r="K423" s="27" t="str">
        <x:v>中国</x:v>
      </x:c>
      <x:c r="L423" s="28" t="str">
        <x:v>中华人民共和国文化和旅游部</x:v>
      </x:c>
      <x:c r="M423" s="28" t="str">
        <x:v>getEcoDataIndCateringtourism</x:v>
      </x:c>
      <x:c r="N423" s="27" t="str">
        <x:v>2002-12-31</x:v>
      </x:c>
      <x:c r="O423" s="27" t="str">
        <x:v>2026-03-31</x:v>
      </x:c>
      <x:c r="P423" s="27" t="str">
        <x:v>持续更新</x:v>
      </x:c>
      <x:c r="Q423" s="27" t="str"/>
      <x:c r="R423" s="28" t="str"/>
    </x:row>
    <x:row r="424" ht="48" customHeight="1">
      <x:c r="A424" s="27" t="str">
        <x:v>801210</x:v>
      </x:c>
      <x:c r="B424" s="27" t="str">
        <x:v>社会服务</x:v>
      </x:c>
      <x:c r="C424" s="27" t="n">
        <x:v>3</x:v>
      </x:c>
      <x:c r="D424" s="27" t="str">
        <x:v>2180708871</x:v>
      </x:c>
      <x:c r="E424" s="28" t="str">
        <x:v>国内旅游人数:累计值:城镇居民</x:v>
      </x:c>
      <x:c r="F424" s="28" t="str">
        <x:v>Domestic Tourist Number: Cumulative Value: Urban Resident</x:v>
      </x:c>
      <x:c r="G424" s="27" t="str">
        <x:v>季</x:v>
      </x:c>
      <x:c r="H424" s="27" t="str">
        <x:v>亿人次</x:v>
      </x:c>
      <x:c r="I424" s="27" t="str">
        <x:v>累计值</x:v>
      </x:c>
      <x:c r="J424" s="27" t="str">
        <x:v>全国</x:v>
      </x:c>
      <x:c r="K424" s="27" t="str">
        <x:v>中国</x:v>
      </x:c>
      <x:c r="L424" s="28" t="str">
        <x:v>中华人民共和国文化和旅游部</x:v>
      </x:c>
      <x:c r="M424" s="28" t="str">
        <x:v>getEcoDataIndCateringtourism</x:v>
      </x:c>
      <x:c r="N424" s="27" t="str">
        <x:v>2002-12-31</x:v>
      </x:c>
      <x:c r="O424" s="27" t="str">
        <x:v>2026-03-31</x:v>
      </x:c>
      <x:c r="P424" s="27" t="str">
        <x:v>持续更新</x:v>
      </x:c>
      <x:c r="Q424" s="27" t="str"/>
      <x:c r="R424" s="28" t="str"/>
    </x:row>
    <x:row r="425" ht="48" customHeight="1">
      <x:c r="A425" s="27" t="str">
        <x:v>801210</x:v>
      </x:c>
      <x:c r="B425" s="27" t="str">
        <x:v>社会服务</x:v>
      </x:c>
      <x:c r="C425" s="27" t="n">
        <x:v>4</x:v>
      </x:c>
      <x:c r="D425" s="27" t="str">
        <x:v>2180708873</x:v>
      </x:c>
      <x:c r="E425" s="28" t="str">
        <x:v>国内旅游消费:累计值</x:v>
      </x:c>
      <x:c r="F425" s="28" t="str">
        <x:v>Domestic Tourism Consumption: Cumulative Value</x:v>
      </x:c>
      <x:c r="G425" s="27" t="str">
        <x:v>季</x:v>
      </x:c>
      <x:c r="H425" s="27" t="str">
        <x:v>万亿元</x:v>
      </x:c>
      <x:c r="I425" s="27" t="str">
        <x:v>累计值</x:v>
      </x:c>
      <x:c r="J425" s="27" t="str">
        <x:v>全国</x:v>
      </x:c>
      <x:c r="K425" s="27" t="str">
        <x:v>中国</x:v>
      </x:c>
      <x:c r="L425" s="28" t="str">
        <x:v>中华人民共和国文化和旅游部</x:v>
      </x:c>
      <x:c r="M425" s="28" t="str">
        <x:v>getEcoDataIndCateringtourism</x:v>
      </x:c>
      <x:c r="N425" s="27" t="str">
        <x:v>2002-12-31</x:v>
      </x:c>
      <x:c r="O425" s="27" t="str">
        <x:v>2026-03-31</x:v>
      </x:c>
      <x:c r="P425" s="27" t="str">
        <x:v>持续更新</x:v>
      </x:c>
      <x:c r="Q425" s="27" t="str"/>
      <x:c r="R425" s="28" t="str"/>
    </x:row>
    <x:row r="426" ht="48" customHeight="1">
      <x:c r="A426" s="27" t="str">
        <x:v>801210</x:v>
      </x:c>
      <x:c r="B426" s="27" t="str">
        <x:v>社会服务</x:v>
      </x:c>
      <x:c r="C426" s="27" t="n">
        <x:v>5</x:v>
      </x:c>
      <x:c r="D426" s="27" t="str">
        <x:v>2180708875</x:v>
      </x:c>
      <x:c r="E426" s="28" t="str">
        <x:v>国内旅游消费:累计值:农村居民</x:v>
      </x:c>
      <x:c r="F426" s="28" t="str">
        <x:v>Domestic Tourism Consumption: Cumulative Value: Rural Resident</x:v>
      </x:c>
      <x:c r="G426" s="27" t="str">
        <x:v>季</x:v>
      </x:c>
      <x:c r="H426" s="27" t="str">
        <x:v>万亿元</x:v>
      </x:c>
      <x:c r="I426" s="27" t="str">
        <x:v>累计值</x:v>
      </x:c>
      <x:c r="J426" s="27" t="str">
        <x:v>全国</x:v>
      </x:c>
      <x:c r="K426" s="27" t="str">
        <x:v>中国</x:v>
      </x:c>
      <x:c r="L426" s="28" t="str">
        <x:v>中华人民共和国文化和旅游部</x:v>
      </x:c>
      <x:c r="M426" s="28" t="str">
        <x:v>getEcoDataIndCateringtourism</x:v>
      </x:c>
      <x:c r="N426" s="27" t="str">
        <x:v>2002-12-31</x:v>
      </x:c>
      <x:c r="O426" s="27" t="str">
        <x:v>2026-03-31</x:v>
      </x:c>
      <x:c r="P426" s="27" t="str">
        <x:v>持续更新</x:v>
      </x:c>
      <x:c r="Q426" s="27" t="str"/>
      <x:c r="R426" s="28" t="str"/>
    </x:row>
    <x:row r="427" ht="48" customHeight="1">
      <x:c r="A427" s="27" t="str">
        <x:v>801210</x:v>
      </x:c>
      <x:c r="B427" s="27" t="str">
        <x:v>社会服务</x:v>
      </x:c>
      <x:c r="C427" s="27" t="n">
        <x:v>6</x:v>
      </x:c>
      <x:c r="D427" s="27" t="str">
        <x:v>2180708874</x:v>
      </x:c>
      <x:c r="E427" s="28" t="str">
        <x:v>国内旅游消费:累计值:城镇居民</x:v>
      </x:c>
      <x:c r="F427" s="28" t="str">
        <x:v>Domestic Tourism Consumption: Cumulative Value: Urban Resident</x:v>
      </x:c>
      <x:c r="G427" s="27" t="str">
        <x:v>季</x:v>
      </x:c>
      <x:c r="H427" s="27" t="str">
        <x:v>万亿元</x:v>
      </x:c>
      <x:c r="I427" s="27" t="str">
        <x:v>累计值</x:v>
      </x:c>
      <x:c r="J427" s="27" t="str">
        <x:v>全国</x:v>
      </x:c>
      <x:c r="K427" s="27" t="str">
        <x:v>中国</x:v>
      </x:c>
      <x:c r="L427" s="28" t="str">
        <x:v>中华人民共和国文化和旅游部</x:v>
      </x:c>
      <x:c r="M427" s="28" t="str">
        <x:v>getEcoDataIndCateringtourism</x:v>
      </x:c>
      <x:c r="N427" s="27" t="str">
        <x:v>2002-12-31</x:v>
      </x:c>
      <x:c r="O427" s="27" t="str">
        <x:v>2026-03-31</x:v>
      </x:c>
      <x:c r="P427" s="27" t="str">
        <x:v>持续更新</x:v>
      </x:c>
      <x:c r="Q427" s="27" t="str"/>
      <x:c r="R427" s="28" t="str"/>
    </x:row>
    <x:row r="428" ht="48" customHeight="1">
      <x:c r="A428" s="27" t="str">
        <x:v>801210</x:v>
      </x:c>
      <x:c r="B428" s="27" t="str">
        <x:v>社会服务</x:v>
      </x:c>
      <x:c r="C428" s="27" t="n">
        <x:v>7</x:v>
      </x:c>
      <x:c r="D428" s="27" t="str">
        <x:v>1040005237</x:v>
      </x:c>
      <x:c r="E428" s="28" t="str">
        <x:v>CPI:教育文化和娱乐:教育服务(上年同月=100)</x:v>
      </x:c>
      <x:c r="F428" s="28" t="str">
        <x:v>CPI: Educational Culture and Entertainment: Educational Services (CYoY=100)</x:v>
      </x:c>
      <x:c r="G428" s="27" t="str">
        <x:v>月</x:v>
      </x:c>
      <x:c r="H428" s="27" t="str">
        <x:v>上年同月=100</x:v>
      </x:c>
      <x:c r="I428" s="27" t="str">
        <x:v>当期值</x:v>
      </x:c>
      <x:c r="J428" s="27" t="str">
        <x:v>全国</x:v>
      </x:c>
      <x:c r="K428" s="27" t="str">
        <x:v>中国</x:v>
      </x:c>
      <x:c r="L428" s="28" t="str">
        <x:v>国家统计局</x:v>
      </x:c>
      <x:c r="M428" s="28" t="str">
        <x:v>getEcoDataChina</x:v>
      </x:c>
      <x:c r="N428" s="27" t="str">
        <x:v>2001-01-31</x:v>
      </x:c>
      <x:c r="O428" s="27" t="str">
        <x:v>2026-06-30</x:v>
      </x:c>
      <x:c r="P428" s="27" t="str">
        <x:v>持续更新</x:v>
      </x:c>
      <x:c r="Q428" s="27" t="str"/>
      <x:c r="R428" s="28" t="str"/>
    </x:row>
    <x:row r="429" ht="48" customHeight="1">
      <x:c r="A429" s="27" t="str">
        <x:v>801210</x:v>
      </x:c>
      <x:c r="B429" s="27" t="str">
        <x:v>社会服务</x:v>
      </x:c>
      <x:c r="C429" s="27" t="n">
        <x:v>8</x:v>
      </x:c>
      <x:c r="D429" s="27" t="str">
        <x:v>1040000057</x:v>
      </x:c>
      <x:c r="E429" s="28" t="str">
        <x:v>CPI:教育文化和娱乐:旅行社及其他旅游服务(上年同月=100)</x:v>
      </x:c>
      <x:c r="F429" s="28" t="str">
        <x:v>CPI: Educational Culture and Entertainment: Travel Services and Other Tourism-related Services (CYoY=100)</x:v>
      </x:c>
      <x:c r="G429" s="27" t="str">
        <x:v>月</x:v>
      </x:c>
      <x:c r="H429" s="27" t="str">
        <x:v>上年同月=100</x:v>
      </x:c>
      <x:c r="I429" s="27" t="str">
        <x:v>当期值</x:v>
      </x:c>
      <x:c r="J429" s="27" t="str">
        <x:v>全国</x:v>
      </x:c>
      <x:c r="K429" s="27" t="str">
        <x:v>中国</x:v>
      </x:c>
      <x:c r="L429" s="28" t="str">
        <x:v>国家统计局</x:v>
      </x:c>
      <x:c r="M429" s="28" t="str">
        <x:v>getEcoDataChina</x:v>
      </x:c>
      <x:c r="N429" s="27" t="str">
        <x:v>2001-01-31</x:v>
      </x:c>
      <x:c r="O429" s="27" t="str">
        <x:v>2026-06-30</x:v>
      </x:c>
      <x:c r="P429" s="27" t="str">
        <x:v>持续更新</x:v>
      </x:c>
      <x:c r="Q429" s="27" t="str"/>
      <x:c r="R429" s="28" t="str"/>
    </x:row>
    <x:row r="430" ht="48" customHeight="1">
      <x:c r="A430" s="27" t="str">
        <x:v>801210</x:v>
      </x:c>
      <x:c r="B430" s="27" t="str">
        <x:v>社会服务</x:v>
      </x:c>
      <x:c r="C430" s="27" t="n">
        <x:v>9</x:v>
      </x:c>
      <x:c r="D430" s="27" t="str">
        <x:v>1050000378</x:v>
      </x:c>
      <x:c r="E430" s="28" t="str">
        <x:v>固定资产投资完成额:住宿和餐饮业:累计同比</x:v>
      </x:c>
      <x:c r="F430" s="28" t="str">
        <x:v>Fixed Assets Investment Realized: Cumulative YoY: Accommodation and Catering</x:v>
      </x:c>
      <x:c r="G430" s="27" t="str">
        <x:v>月</x:v>
      </x:c>
      <x:c r="H430" s="27" t="str">
        <x:v>%</x:v>
      </x:c>
      <x:c r="I430" s="27" t="str">
        <x:v>累计同比</x:v>
      </x:c>
      <x:c r="J430" s="27" t="str">
        <x:v>全国</x:v>
      </x:c>
      <x:c r="K430" s="27" t="str">
        <x:v>中国</x:v>
      </x:c>
      <x:c r="L430" s="28" t="str">
        <x:v>国家统计局</x:v>
      </x:c>
      <x:c r="M430" s="28" t="str">
        <x:v>getEcoDataChina</x:v>
      </x:c>
      <x:c r="N430" s="27" t="str">
        <x:v>2004-02-29</x:v>
      </x:c>
      <x:c r="O430" s="27" t="str">
        <x:v>2026-06-30</x:v>
      </x:c>
      <x:c r="P430" s="27" t="str">
        <x:v>持续更新</x:v>
      </x:c>
      <x:c r="Q430" s="27" t="str"/>
      <x:c r="R430" s="28" t="str"/>
    </x:row>
    <x:row r="431" ht="48" customHeight="1">
      <x:c r="A431" s="27" t="str">
        <x:v>801210</x:v>
      </x:c>
      <x:c r="B431" s="27" t="str">
        <x:v>社会服务</x:v>
      </x:c>
      <x:c r="C431" s="27" t="n">
        <x:v>10</x:v>
      </x:c>
      <x:c r="D431" s="27" t="str">
        <x:v>1010008423</x:v>
      </x:c>
      <x:c r="E431" s="28" t="str">
        <x:v>GDP:不变价:住宿和餐饮业:当季同比</x:v>
      </x:c>
      <x:c r="F431" s="28" t="str">
        <x:v>GDP: at Constant Price: Accommodation and Restaurants: Current Quarter YoY</x:v>
      </x:c>
      <x:c r="G431" s="27" t="str">
        <x:v>季</x:v>
      </x:c>
      <x:c r="H431" s="27" t="str">
        <x:v>%</x:v>
      </x:c>
      <x:c r="I431" s="27" t="str">
        <x:v>当期同比</x:v>
      </x:c>
      <x:c r="J431" s="27" t="str">
        <x:v>全国</x:v>
      </x:c>
      <x:c r="K431" s="27" t="str">
        <x:v>中国</x:v>
      </x:c>
      <x:c r="L431" s="28" t="str">
        <x:v>国家统计局</x:v>
      </x:c>
      <x:c r="M431" s="28" t="str">
        <x:v>getEcoDataChina</x:v>
      </x:c>
      <x:c r="N431" s="27" t="str">
        <x:v>1993-03-31</x:v>
      </x:c>
      <x:c r="O431" s="27" t="str">
        <x:v>2026-06-30</x:v>
      </x:c>
      <x:c r="P431" s="27" t="str">
        <x:v>持续更新</x:v>
      </x:c>
      <x:c r="Q431" s="27" t="str"/>
      <x:c r="R431" s="28" t="str"/>
    </x:row>
    <x:row r="432" ht="48" customHeight="1">
      <x:c r="A432" s="27" t="str">
        <x:v>801210</x:v>
      </x:c>
      <x:c r="B432" s="27" t="str">
        <x:v>社会服务</x:v>
      </x:c>
      <x:c r="C432" s="27" t="n">
        <x:v>11</x:v>
      </x:c>
      <x:c r="D432" s="27" t="str">
        <x:v>1010000026</x:v>
      </x:c>
      <x:c r="E432" s="28" t="str">
        <x:v>GDP:不变价:住宿和餐饮业:累计同比</x:v>
      </x:c>
      <x:c r="F432" s="28" t="str">
        <x:v>GDP: at Constant Price: Accommodation and Restaurants: Cumulative YoY</x:v>
      </x:c>
      <x:c r="G432" s="27" t="str">
        <x:v>季</x:v>
      </x:c>
      <x:c r="H432" s="27" t="str">
        <x:v>%</x:v>
      </x:c>
      <x:c r="I432" s="27" t="str">
        <x:v>累计同比</x:v>
      </x:c>
      <x:c r="J432" s="27" t="str">
        <x:v>全国</x:v>
      </x:c>
      <x:c r="K432" s="27" t="str">
        <x:v>中国</x:v>
      </x:c>
      <x:c r="L432" s="28" t="str">
        <x:v>国家统计局</x:v>
      </x:c>
      <x:c r="M432" s="28" t="str">
        <x:v>getEcoDataChina</x:v>
      </x:c>
      <x:c r="N432" s="27" t="str">
        <x:v>1953-12-31</x:v>
      </x:c>
      <x:c r="O432" s="27" t="str">
        <x:v>2026-06-30</x:v>
      </x:c>
      <x:c r="P432" s="27" t="str">
        <x:v>持续更新</x:v>
      </x:c>
      <x:c r="Q432" s="27" t="str"/>
      <x:c r="R432" s="28" t="str"/>
    </x:row>
    <x:row r="433" ht="48" customHeight="1">
      <x:c r="A433" s="27" t="str">
        <x:v>801210</x:v>
      </x:c>
      <x:c r="B433" s="27" t="str">
        <x:v>社会服务</x:v>
      </x:c>
      <x:c r="C433" s="27" t="n">
        <x:v>12</x:v>
      </x:c>
      <x:c r="D433" s="27" t="str">
        <x:v>1010008406</x:v>
      </x:c>
      <x:c r="E433" s="28" t="str">
        <x:v>GDP:现价:住宿和餐饮业:当季值</x:v>
      </x:c>
      <x:c r="F433" s="28" t="str">
        <x:v>GDP: at Current Price: Accommodation and Restaurants: Current Quarter Value</x:v>
      </x:c>
      <x:c r="G433" s="27" t="str">
        <x:v>季</x:v>
      </x:c>
      <x:c r="H433" s="27" t="str">
        <x:v>亿元</x:v>
      </x:c>
      <x:c r="I433" s="27" t="str">
        <x:v>当期值</x:v>
      </x:c>
      <x:c r="J433" s="27" t="str">
        <x:v>全国</x:v>
      </x:c>
      <x:c r="K433" s="27" t="str">
        <x:v>中国</x:v>
      </x:c>
      <x:c r="L433" s="28" t="str">
        <x:v>国家统计局</x:v>
      </x:c>
      <x:c r="M433" s="28" t="str">
        <x:v>getEcoDataChina</x:v>
      </x:c>
      <x:c r="N433" s="27" t="str">
        <x:v>1992-03-31</x:v>
      </x:c>
      <x:c r="O433" s="27" t="str">
        <x:v>2026-06-30</x:v>
      </x:c>
      <x:c r="P433" s="27" t="str">
        <x:v>持续更新</x:v>
      </x:c>
      <x:c r="Q433" s="27" t="str"/>
      <x:c r="R433" s="28" t="str"/>
    </x:row>
    <x:row r="434" ht="48" customHeight="1">
      <x:c r="A434" s="27" t="str">
        <x:v>801210</x:v>
      </x:c>
      <x:c r="B434" s="27" t="str">
        <x:v>社会服务</x:v>
      </x:c>
      <x:c r="C434" s="27" t="n">
        <x:v>13</x:v>
      </x:c>
      <x:c r="D434" s="27" t="str">
        <x:v>1010000013</x:v>
      </x:c>
      <x:c r="E434" s="28" t="str">
        <x:v>GDP:现价:住宿和餐饮业:累计值</x:v>
      </x:c>
      <x:c r="F434" s="28" t="str">
        <x:v>GDP: at Current Price: Accommodation and Restaurants: Cumulative Value</x:v>
      </x:c>
      <x:c r="G434" s="27" t="str">
        <x:v>季</x:v>
      </x:c>
      <x:c r="H434" s="27" t="str">
        <x:v>亿元</x:v>
      </x:c>
      <x:c r="I434" s="27" t="str">
        <x:v>累计值</x:v>
      </x:c>
      <x:c r="J434" s="27" t="str">
        <x:v>全国</x:v>
      </x:c>
      <x:c r="K434" s="27" t="str">
        <x:v>中国</x:v>
      </x:c>
      <x:c r="L434" s="28" t="str">
        <x:v>国家统计局</x:v>
      </x:c>
      <x:c r="M434" s="28" t="str">
        <x:v>getEcoDataChina</x:v>
      </x:c>
      <x:c r="N434" s="27" t="str">
        <x:v>1952-12-31</x:v>
      </x:c>
      <x:c r="O434" s="27" t="str">
        <x:v>2026-06-30</x:v>
      </x:c>
      <x:c r="P434" s="27" t="str">
        <x:v>持续更新</x:v>
      </x:c>
      <x:c r="Q434" s="27" t="str"/>
      <x:c r="R434" s="28" t="str"/>
    </x:row>
    <x:row r="435" ht="48" customHeight="1">
      <x:c r="A435" s="27" t="str">
        <x:v>801210</x:v>
      </x:c>
      <x:c r="B435" s="27" t="str">
        <x:v>社会服务</x:v>
      </x:c>
      <x:c r="C435" s="27" t="n">
        <x:v>14</x:v>
      </x:c>
      <x:c r="D435" s="27" t="str">
        <x:v>1010017937</x:v>
      </x:c>
      <x:c r="E435" s="28" t="str">
        <x:v>GDP:现价:初步核算数:住宿和餐饮业:当季值</x:v>
      </x:c>
      <x:c r="F435" s="28" t="str">
        <x:v>GDP: at Current Price: Preliminary Accounting Results: Accommodation and Restaurants: Current Quarter Value</x:v>
      </x:c>
      <x:c r="G435" s="27" t="str">
        <x:v>季</x:v>
      </x:c>
      <x:c r="H435" s="27" t="str">
        <x:v>亿元</x:v>
      </x:c>
      <x:c r="I435" s="27" t="str">
        <x:v>初值</x:v>
      </x:c>
      <x:c r="J435" s="27" t="str">
        <x:v>全国</x:v>
      </x:c>
      <x:c r="K435" s="27" t="str">
        <x:v>中国</x:v>
      </x:c>
      <x:c r="L435" s="28" t="str">
        <x:v>国家统计局</x:v>
      </x:c>
      <x:c r="M435" s="28" t="str">
        <x:v>getEcoDataChina</x:v>
      </x:c>
      <x:c r="N435" s="27" t="str">
        <x:v>2015-09-30</x:v>
      </x:c>
      <x:c r="O435" s="27" t="str">
        <x:v>2026-06-30</x:v>
      </x:c>
      <x:c r="P435" s="27" t="str">
        <x:v>持续更新</x:v>
      </x:c>
      <x:c r="Q435" s="27" t="str"/>
      <x:c r="R435" s="28" t="str"/>
    </x:row>
    <x:row r="436" ht="48" customHeight="1">
      <x:c r="A436" s="27" t="str">
        <x:v>801210</x:v>
      </x:c>
      <x:c r="B436" s="27" t="str">
        <x:v>社会服务</x:v>
      </x:c>
      <x:c r="C436" s="27" t="n">
        <x:v>15</x:v>
      </x:c>
      <x:c r="D436" s="27" t="str">
        <x:v>1010017964</x:v>
      </x:c>
      <x:c r="E436" s="28" t="str">
        <x:v>GDP:现价:初步核算数:住宿和餐饮业:累计值</x:v>
      </x:c>
      <x:c r="F436" s="28" t="str">
        <x:v>GDP: at Current Price: Preliminary Accounting Results: Accommodation and Restaurants: Cumulative Value</x:v>
      </x:c>
      <x:c r="G436" s="27" t="str">
        <x:v>季</x:v>
      </x:c>
      <x:c r="H436" s="27" t="str">
        <x:v>亿元</x:v>
      </x:c>
      <x:c r="I436" s="27" t="str">
        <x:v>累计值(初值)</x:v>
      </x:c>
      <x:c r="J436" s="27" t="str">
        <x:v>全国</x:v>
      </x:c>
      <x:c r="K436" s="27" t="str">
        <x:v>中国</x:v>
      </x:c>
      <x:c r="L436" s="28" t="str">
        <x:v>国家统计局</x:v>
      </x:c>
      <x:c r="M436" s="28" t="str">
        <x:v>getEcoDataChina</x:v>
      </x:c>
      <x:c r="N436" s="27" t="str">
        <x:v>2012-09-30</x:v>
      </x:c>
      <x:c r="O436" s="27" t="str">
        <x:v>2026-06-30</x:v>
      </x:c>
      <x:c r="P436" s="27" t="str">
        <x:v>持续更新</x:v>
      </x:c>
      <x:c r="Q436" s="27" t="str"/>
      <x:c r="R436" s="28" t="str"/>
    </x:row>
    <x:row r="437" ht="48" customHeight="1">
      <x:c r="A437" s="27" t="str">
        <x:v>801210</x:v>
      </x:c>
      <x:c r="B437" s="27" t="str">
        <x:v>社会服务</x:v>
      </x:c>
      <x:c r="C437" s="27" t="n">
        <x:v>16</x:v>
      </x:c>
      <x:c r="D437" s="27" t="str">
        <x:v>1010014356</x:v>
      </x:c>
      <x:c r="E437" s="28" t="str">
        <x:v>GDP平减指数:住宿和餐饮业:当季同比</x:v>
      </x:c>
      <x:c r="F437" s="28" t="str">
        <x:v>GDP Deflators Index: Accommodation and Restaurants: Current Quarter YoY</x:v>
      </x:c>
      <x:c r="G437" s="27" t="str">
        <x:v>季</x:v>
      </x:c>
      <x:c r="H437" s="27" t="str">
        <x:v>%</x:v>
      </x:c>
      <x:c r="I437" s="27" t="str">
        <x:v>当期同比</x:v>
      </x:c>
      <x:c r="J437" s="27" t="str">
        <x:v>全国</x:v>
      </x:c>
      <x:c r="K437" s="27" t="str">
        <x:v>中国</x:v>
      </x:c>
      <x:c r="L437" s="28" t="str">
        <x:v>Datayes!</x:v>
      </x:c>
      <x:c r="M437" s="28" t="str">
        <x:v>getEcoDataChina</x:v>
      </x:c>
      <x:c r="N437" s="27" t="str">
        <x:v>1993-03-31</x:v>
      </x:c>
      <x:c r="O437" s="27" t="str">
        <x:v>2026-06-30</x:v>
      </x:c>
      <x:c r="P437" s="27" t="str">
        <x:v>持续更新</x:v>
      </x:c>
      <x:c r="Q437" s="27" t="str"/>
      <x:c r="R437" s="28" t="str"/>
    </x:row>
    <x:row r="438" ht="48" customHeight="1">
      <x:c r="A438" s="27" t="str">
        <x:v>801210</x:v>
      </x:c>
      <x:c r="B438" s="27" t="str">
        <x:v>社会服务</x:v>
      </x:c>
      <x:c r="C438" s="27" t="n">
        <x:v>17</x:v>
      </x:c>
      <x:c r="D438" s="27" t="str">
        <x:v>1010014344</x:v>
      </x:c>
      <x:c r="E438" s="28" t="str">
        <x:v>GDP平减指数:住宿和餐饮业:累计同比</x:v>
      </x:c>
      <x:c r="F438" s="28" t="str">
        <x:v>GDP Deflators Index: Accommodation and Restaurants: Cumulative YoY</x:v>
      </x:c>
      <x:c r="G438" s="27" t="str">
        <x:v>季</x:v>
      </x:c>
      <x:c r="H438" s="27" t="str">
        <x:v>%</x:v>
      </x:c>
      <x:c r="I438" s="27" t="str">
        <x:v>累计同比</x:v>
      </x:c>
      <x:c r="J438" s="27" t="str">
        <x:v>全国</x:v>
      </x:c>
      <x:c r="K438" s="27" t="str">
        <x:v>中国</x:v>
      </x:c>
      <x:c r="L438" s="28" t="str">
        <x:v>Datayes!</x:v>
      </x:c>
      <x:c r="M438" s="28" t="str">
        <x:v>getEcoDataChina</x:v>
      </x:c>
      <x:c r="N438" s="27" t="str">
        <x:v>1993-03-31</x:v>
      </x:c>
      <x:c r="O438" s="27" t="str">
        <x:v>2026-06-30</x:v>
      </x:c>
      <x:c r="P438" s="27" t="str">
        <x:v>持续更新</x:v>
      </x:c>
      <x:c r="Q438" s="27" t="str"/>
      <x:c r="R438" s="28" t="str"/>
    </x:row>
    <x:row r="439" ht="48" customHeight="1">
      <x:c r="A439" s="27" t="str">
        <x:v>801210</x:v>
      </x:c>
      <x:c r="B439" s="27" t="str">
        <x:v>社会服务</x:v>
      </x:c>
      <x:c r="C439" s="27" t="n">
        <x:v>18</x:v>
      </x:c>
      <x:c r="D439" s="27" t="str">
        <x:v>1010014283</x:v>
      </x:c>
      <x:c r="E439" s="28" t="str">
        <x:v>GDP指数:住宿和餐饮业:当季值</x:v>
      </x:c>
      <x:c r="F439" s="28" t="str">
        <x:v>Indices of GDP: Accommodation and Restaurants: Current Quarter Value</x:v>
      </x:c>
      <x:c r="G439" s="27" t="str">
        <x:v>季</x:v>
      </x:c>
      <x:c r="H439" s="27" t="str">
        <x:v>上年同期=100</x:v>
      </x:c>
      <x:c r="I439" s="27" t="str">
        <x:v>当期同比</x:v>
      </x:c>
      <x:c r="J439" s="27" t="str">
        <x:v>全国</x:v>
      </x:c>
      <x:c r="K439" s="27" t="str">
        <x:v>中国</x:v>
      </x:c>
      <x:c r="L439" s="28" t="str">
        <x:v>国家统计局</x:v>
      </x:c>
      <x:c r="M439" s="28" t="str">
        <x:v>getEcoDataChina</x:v>
      </x:c>
      <x:c r="N439" s="27" t="str">
        <x:v>1993-03-31</x:v>
      </x:c>
      <x:c r="O439" s="27" t="str">
        <x:v>2026-06-30</x:v>
      </x:c>
      <x:c r="P439" s="27" t="str">
        <x:v>持续更新</x:v>
      </x:c>
      <x:c r="Q439" s="27" t="str"/>
      <x:c r="R439" s="28" t="str"/>
    </x:row>
    <x:row r="440" ht="48" customHeight="1">
      <x:c r="A440" s="27" t="str">
        <x:v>801210</x:v>
      </x:c>
      <x:c r="B440" s="27" t="str">
        <x:v>社会服务</x:v>
      </x:c>
      <x:c r="C440" s="27" t="n">
        <x:v>19</x:v>
      </x:c>
      <x:c r="D440" s="27" t="str">
        <x:v>1010014299</x:v>
      </x:c>
      <x:c r="E440" s="28" t="str">
        <x:v>GDP指数:住宿和餐饮业:累计值</x:v>
      </x:c>
      <x:c r="F440" s="28" t="str">
        <x:v>Indices of GDP: Accommodation and Restaurants: Cumulative Value</x:v>
      </x:c>
      <x:c r="G440" s="27" t="str">
        <x:v>季</x:v>
      </x:c>
      <x:c r="H440" s="27" t="str">
        <x:v>上年同期=100</x:v>
      </x:c>
      <x:c r="I440" s="27" t="str">
        <x:v>累计同比</x:v>
      </x:c>
      <x:c r="J440" s="27" t="str">
        <x:v>全国</x:v>
      </x:c>
      <x:c r="K440" s="27" t="str">
        <x:v>中国</x:v>
      </x:c>
      <x:c r="L440" s="28" t="str">
        <x:v>国家统计局</x:v>
      </x:c>
      <x:c r="M440" s="28" t="str">
        <x:v>getEcoDataChina</x:v>
      </x:c>
      <x:c r="N440" s="27" t="str">
        <x:v>1993-03-31</x:v>
      </x:c>
      <x:c r="O440" s="27" t="str">
        <x:v>2026-06-30</x:v>
      </x:c>
      <x:c r="P440" s="27" t="str">
        <x:v>持续更新</x:v>
      </x:c>
      <x:c r="Q440" s="27" t="str"/>
      <x:c r="R440" s="28" t="str"/>
    </x:row>
    <x:row r="441" ht="48" customHeight="1">
      <x:c r="A441" s="27" t="str">
        <x:v>801210</x:v>
      </x:c>
      <x:c r="B441" s="27" t="str">
        <x:v>社会服务</x:v>
      </x:c>
      <x:c r="C441" s="27" t="n">
        <x:v>20</x:v>
      </x:c>
      <x:c r="D441" s="27" t="str">
        <x:v>1010000050</x:v>
      </x:c>
      <x:c r="E441" s="28" t="str">
        <x:v>GDP累计同比贡献率:住宿和餐饮业</x:v>
      </x:c>
      <x:c r="F441" s="28" t="str">
        <x:v>Share of the Contributions to the Increase of the Accumulated GDP: Accommodation and Restaurants</x:v>
      </x:c>
      <x:c r="G441" s="27" t="str">
        <x:v>季</x:v>
      </x:c>
      <x:c r="H441" s="27" t="str">
        <x:v>%</x:v>
      </x:c>
      <x:c r="I441" s="27" t="str">
        <x:v>当期值</x:v>
      </x:c>
      <x:c r="J441" s="27" t="str">
        <x:v>全国</x:v>
      </x:c>
      <x:c r="K441" s="27" t="str">
        <x:v>中国</x:v>
      </x:c>
      <x:c r="L441" s="28" t="str">
        <x:v>Datayes!</x:v>
      </x:c>
      <x:c r="M441" s="28" t="str">
        <x:v>getEcoDataChina</x:v>
      </x:c>
      <x:c r="N441" s="27" t="str">
        <x:v>1993-03-31</x:v>
      </x:c>
      <x:c r="O441" s="27" t="str">
        <x:v>2026-06-30</x:v>
      </x:c>
      <x:c r="P441" s="27" t="str">
        <x:v>持续更新</x:v>
      </x:c>
      <x:c r="Q441" s="27" t="str"/>
      <x:c r="R441" s="28" t="str"/>
    </x:row>
    <x:row r="442" ht="48" customHeight="1">
      <x:c r="A442" s="27" t="str">
        <x:v>801210</x:v>
      </x:c>
      <x:c r="B442" s="27" t="str">
        <x:v>社会服务</x:v>
      </x:c>
      <x:c r="C442" s="27" t="n">
        <x:v>21</x:v>
      </x:c>
      <x:c r="D442" s="27" t="str">
        <x:v>1030000131</x:v>
      </x:c>
      <x:c r="E442" s="28" t="str">
        <x:v>企业景气指数:住宿和餐饮业</x:v>
      </x:c>
      <x:c r="F442" s="28" t="str">
        <x:v>Industry Prosperity Index: Accommodation and Catering Industry: Value in Current Quarter</x:v>
      </x:c>
      <x:c r="G442" s="27" t="str">
        <x:v>季</x:v>
      </x:c>
      <x:c r="H442" s="27" t="str">
        <x:v>%</x:v>
      </x:c>
      <x:c r="I442" s="27" t="str">
        <x:v>当期值</x:v>
      </x:c>
      <x:c r="J442" s="27" t="str">
        <x:v>全国</x:v>
      </x:c>
      <x:c r="K442" s="27" t="str">
        <x:v>中国</x:v>
      </x:c>
      <x:c r="L442" s="28" t="str">
        <x:v>国家统计局</x:v>
      </x:c>
      <x:c r="M442" s="28" t="str">
        <x:v>getEcoDataChina</x:v>
      </x:c>
      <x:c r="N442" s="27" t="str">
        <x:v>2002-03-31</x:v>
      </x:c>
      <x:c r="O442" s="27" t="str">
        <x:v>2026-06-30</x:v>
      </x:c>
      <x:c r="P442" s="27" t="str">
        <x:v>持续更新</x:v>
      </x:c>
      <x:c r="Q442" s="27" t="str"/>
      <x:c r="R442" s="28" t="str"/>
    </x:row>
    <x:row r="443" ht="48" customHeight="1">
      <x:c r="A443" s="27" t="str">
        <x:v>801210</x:v>
      </x:c>
      <x:c r="B443" s="27" t="str">
        <x:v>社会服务</x:v>
      </x:c>
      <x:c r="C443" s="27" t="n">
        <x:v>22</x:v>
      </x:c>
      <x:c r="D443" s="27" t="str">
        <x:v>1030000475</x:v>
      </x:c>
      <x:c r="E443" s="28" t="str">
        <x:v>企业景气指数:即期指数:住宿和餐饮业</x:v>
      </x:c>
      <x:c r="F443" s="28" t="str">
        <x:v>Business Climate Index: Current: Accommodation And Catering Trade</x:v>
      </x:c>
      <x:c r="G443" s="27" t="str">
        <x:v>季</x:v>
      </x:c>
      <x:c r="H443" s="27" t="str">
        <x:v>%</x:v>
      </x:c>
      <x:c r="I443" s="27" t="str">
        <x:v>当期值</x:v>
      </x:c>
      <x:c r="J443" s="27" t="str">
        <x:v>全国</x:v>
      </x:c>
      <x:c r="K443" s="27" t="str">
        <x:v>中国</x:v>
      </x:c>
      <x:c r="L443" s="28" t="str">
        <x:v>国家统计局</x:v>
      </x:c>
      <x:c r="M443" s="28" t="str">
        <x:v>getEcoDataChina</x:v>
      </x:c>
      <x:c r="N443" s="27" t="str">
        <x:v>2012-03-31</x:v>
      </x:c>
      <x:c r="O443" s="27" t="str">
        <x:v>2026-06-30</x:v>
      </x:c>
      <x:c r="P443" s="27" t="str">
        <x:v>持续更新</x:v>
      </x:c>
      <x:c r="Q443" s="27" t="str"/>
      <x:c r="R443" s="28" t="str"/>
    </x:row>
    <x:row r="444" ht="48" customHeight="1">
      <x:c r="A444" s="27" t="str">
        <x:v>801210</x:v>
      </x:c>
      <x:c r="B444" s="27" t="str">
        <x:v>社会服务</x:v>
      </x:c>
      <x:c r="C444" s="27" t="n">
        <x:v>23</x:v>
      </x:c>
      <x:c r="D444" s="27" t="str">
        <x:v>1030000535</x:v>
      </x:c>
      <x:c r="E444" s="28" t="str">
        <x:v>企业景气指数:预期指数:住宿和餐饮业</x:v>
      </x:c>
      <x:c r="F444" s="28" t="str">
        <x:v>Business Climate Index: Expectation: Accommodation And Catering Trade</x:v>
      </x:c>
      <x:c r="G444" s="27" t="str">
        <x:v>季</x:v>
      </x:c>
      <x:c r="H444" s="27" t="str">
        <x:v>%</x:v>
      </x:c>
      <x:c r="I444" s="27" t="str">
        <x:v>当期值</x:v>
      </x:c>
      <x:c r="J444" s="27" t="str">
        <x:v>全国</x:v>
      </x:c>
      <x:c r="K444" s="27" t="str">
        <x:v>中国</x:v>
      </x:c>
      <x:c r="L444" s="28" t="str">
        <x:v>国家统计局</x:v>
      </x:c>
      <x:c r="M444" s="28" t="str">
        <x:v>getEcoDataChina</x:v>
      </x:c>
      <x:c r="N444" s="27" t="str">
        <x:v>2012-03-31</x:v>
      </x:c>
      <x:c r="O444" s="27" t="str">
        <x:v>2026-06-30</x:v>
      </x:c>
      <x:c r="P444" s="27" t="str">
        <x:v>持续更新</x:v>
      </x:c>
      <x:c r="Q444" s="27" t="str"/>
      <x:c r="R444" s="28" t="str"/>
    </x:row>
    <x:row r="445" ht="48" customHeight="1">
      <x:c r="A445" s="27" t="str">
        <x:v>801210</x:v>
      </x:c>
      <x:c r="B445" s="27" t="str">
        <x:v>社会服务</x:v>
      </x:c>
      <x:c r="C445" s="27" t="n">
        <x:v>24</x:v>
      </x:c>
      <x:c r="D445" s="27" t="str">
        <x:v>1010000062</x:v>
      </x:c>
      <x:c r="E445" s="28" t="str">
        <x:v>对GDP累计同比的拉动:住宿和餐饮业</x:v>
      </x:c>
      <x:c r="F445" s="28" t="str">
        <x:v>Contribution to the Accumulated GDP Growth: Accommodation and Restaurants</x:v>
      </x:c>
      <x:c r="G445" s="27" t="str">
        <x:v>季</x:v>
      </x:c>
      <x:c r="H445" s="27" t="str">
        <x:v>百分点</x:v>
      </x:c>
      <x:c r="I445" s="27" t="str">
        <x:v>当期值</x:v>
      </x:c>
      <x:c r="J445" s="27" t="str">
        <x:v>全国</x:v>
      </x:c>
      <x:c r="K445" s="27" t="str">
        <x:v>中国</x:v>
      </x:c>
      <x:c r="L445" s="28" t="str">
        <x:v>Datayes!</x:v>
      </x:c>
      <x:c r="M445" s="28" t="str">
        <x:v>getEcoDataChina</x:v>
      </x:c>
      <x:c r="N445" s="27" t="str">
        <x:v>1993-03-31</x:v>
      </x:c>
      <x:c r="O445" s="27" t="str">
        <x:v>2026-06-30</x:v>
      </x:c>
      <x:c r="P445" s="27" t="str">
        <x:v>持续更新</x:v>
      </x:c>
      <x:c r="Q445" s="27" t="str"/>
      <x:c r="R445" s="28" t="str"/>
    </x:row>
    <x:row r="446" ht="48" customHeight="1">
      <x:c r="A446" s="27" t="str">
        <x:v>801210</x:v>
      </x:c>
      <x:c r="B446" s="27" t="str">
        <x:v>社会服务</x:v>
      </x:c>
      <x:c r="C446" s="27" t="n">
        <x:v>25</x:v>
      </x:c>
      <x:c r="D446" s="27" t="str">
        <x:v>3190000996</x:v>
      </x:c>
      <x:c r="E446" s="28" t="str">
        <x:v>南非:每间客房收入:现价:酒店:同比:未季调</x:v>
      </x:c>
      <x:c r="F446" s="28" t="str">
        <x:v>South Africa: Income Per Stay Unit Nights Sold: At Current Prices: Hotels: YoY: NSA</x:v>
      </x:c>
      <x:c r="G446" s="27" t="str">
        <x:v>月</x:v>
      </x:c>
      <x:c r="H446" s="27" t="str">
        <x:v>%</x:v>
      </x:c>
      <x:c r="I446" s="27" t="str">
        <x:v>当期同比</x:v>
      </x:c>
      <x:c r="J446" s="27" t="str">
        <x:v>南非</x:v>
      </x:c>
      <x:c r="K446" s="27" t="str">
        <x:v>南非</x:v>
      </x:c>
      <x:c r="L446" s="28" t="str">
        <x:v>南非统计局</x:v>
      </x:c>
      <x:c r="M446" s="28" t="str">
        <x:v>getEcoDataGlobeRest</x:v>
      </x:c>
      <x:c r="N446" s="27" t="str">
        <x:v>2008-01-31</x:v>
      </x:c>
      <x:c r="O446" s="27" t="str">
        <x:v>2026-05-31</x:v>
      </x:c>
      <x:c r="P446" s="27" t="str">
        <x:v>持续更新</x:v>
      </x:c>
      <x:c r="Q446" s="27" t="str"/>
      <x:c r="R446" s="28" t="str"/>
    </x:row>
    <x:row r="447" ht="48" customHeight="1">
      <x:c r="A447" s="27" t="str">
        <x:v>801210</x:v>
      </x:c>
      <x:c r="B447" s="27" t="str">
        <x:v>社会服务</x:v>
      </x:c>
      <x:c r="C447" s="27" t="n">
        <x:v>26</x:v>
      </x:c>
      <x:c r="D447" s="27" t="str">
        <x:v>3190000956</x:v>
      </x:c>
      <x:c r="E447" s="28" t="str">
        <x:v>南非:每间客房收入:现价:酒店:季调</x:v>
      </x:c>
      <x:c r="F447" s="28" t="str">
        <x:v>South Africa: Income Per Stay Unit Nights Sold: At Current Prices: Hotels: SA</x:v>
      </x:c>
      <x:c r="G447" s="27" t="str">
        <x:v>月</x:v>
      </x:c>
      <x:c r="H447" s="27" t="str">
        <x:v>兰特</x:v>
      </x:c>
      <x:c r="I447" s="27" t="str">
        <x:v>季调</x:v>
      </x:c>
      <x:c r="J447" s="27" t="str">
        <x:v>南非</x:v>
      </x:c>
      <x:c r="K447" s="27" t="str">
        <x:v>南非</x:v>
      </x:c>
      <x:c r="L447" s="28" t="str">
        <x:v>南非统计局</x:v>
      </x:c>
      <x:c r="M447" s="28" t="str">
        <x:v>getEcoDataGlobeRest</x:v>
      </x:c>
      <x:c r="N447" s="27" t="str">
        <x:v>2007-01-31</x:v>
      </x:c>
      <x:c r="O447" s="27" t="str">
        <x:v>2026-05-31</x:v>
      </x:c>
      <x:c r="P447" s="27" t="str">
        <x:v>持续更新</x:v>
      </x:c>
      <x:c r="Q447" s="27" t="str"/>
      <x:c r="R447" s="28" t="str"/>
    </x:row>
    <x:row r="448" ht="48" customHeight="1">
      <x:c r="A448" s="27" t="str">
        <x:v>801210</x:v>
      </x:c>
      <x:c r="B448" s="27" t="str">
        <x:v>社会服务</x:v>
      </x:c>
      <x:c r="C448" s="27" t="n">
        <x:v>27</x:v>
      </x:c>
      <x:c r="D448" s="27" t="str">
        <x:v>3190000921</x:v>
      </x:c>
      <x:c r="E448" s="28" t="str">
        <x:v>南非:每间客房收入:现价:酒店:未季调</x:v>
      </x:c>
      <x:c r="F448" s="28" t="str">
        <x:v>South Africa: Income Per Stay Unit Nights Sold: At Current Prices: Hotels: NSA</x:v>
      </x:c>
      <x:c r="G448" s="27" t="str">
        <x:v>月</x:v>
      </x:c>
      <x:c r="H448" s="27" t="str">
        <x:v>兰特</x:v>
      </x:c>
      <x:c r="I448" s="27" t="str">
        <x:v>当期值</x:v>
      </x:c>
      <x:c r="J448" s="27" t="str">
        <x:v>南非</x:v>
      </x:c>
      <x:c r="K448" s="27" t="str">
        <x:v>南非</x:v>
      </x:c>
      <x:c r="L448" s="28" t="str">
        <x:v>南非统计局</x:v>
      </x:c>
      <x:c r="M448" s="28" t="str">
        <x:v>getEcoDataGlobeRest</x:v>
      </x:c>
      <x:c r="N448" s="27" t="str">
        <x:v>2007-01-31</x:v>
      </x:c>
      <x:c r="O448" s="27" t="str">
        <x:v>2026-05-31</x:v>
      </x:c>
      <x:c r="P448" s="27" t="str">
        <x:v>持续更新</x:v>
      </x:c>
      <x:c r="Q448" s="27" t="str"/>
      <x:c r="R448" s="28" t="str"/>
    </x:row>
    <x:row r="449" ht="48" customHeight="1">
      <x:c r="A449" s="27" t="str">
        <x:v>801210</x:v>
      </x:c>
      <x:c r="B449" s="27" t="str">
        <x:v>社会服务</x:v>
      </x:c>
      <x:c r="C449" s="27" t="n">
        <x:v>28</x:v>
      </x:c>
      <x:c r="D449" s="27" t="str">
        <x:v>3190001031</x:v>
      </x:c>
      <x:c r="E449" s="28" t="str">
        <x:v>南非:每间客房收入:现价:酒店:环比:季调</x:v>
      </x:c>
      <x:c r="F449" s="28" t="str">
        <x:v>South Africa: Income Per Stay Unit Nights Sold: At Current Prices: Hotels: MoM: SA</x:v>
      </x:c>
      <x:c r="G449" s="27" t="str">
        <x:v>月</x:v>
      </x:c>
      <x:c r="H449" s="27" t="str">
        <x:v>%</x:v>
      </x:c>
      <x:c r="I449" s="27" t="str">
        <x:v>环比(季调)</x:v>
      </x:c>
      <x:c r="J449" s="27" t="str">
        <x:v>南非</x:v>
      </x:c>
      <x:c r="K449" s="27" t="str">
        <x:v>南非</x:v>
      </x:c>
      <x:c r="L449" s="28" t="str">
        <x:v>南非统计局</x:v>
      </x:c>
      <x:c r="M449" s="28" t="str">
        <x:v>getEcoDataGlobeRest</x:v>
      </x:c>
      <x:c r="N449" s="27" t="str">
        <x:v>2007-02-28</x:v>
      </x:c>
      <x:c r="O449" s="27" t="str">
        <x:v>2026-05-31</x:v>
      </x:c>
      <x:c r="P449" s="27" t="str">
        <x:v>持续更新</x:v>
      </x:c>
      <x:c r="Q449" s="27" t="str"/>
      <x:c r="R449" s="28" t="str"/>
    </x:row>
    <x:row r="450" ht="48" customHeight="1">
      <x:c r="A450" s="27" t="str">
        <x:v>801210</x:v>
      </x:c>
      <x:c r="B450" s="27" t="str">
        <x:v>社会服务</x:v>
      </x:c>
      <x:c r="C450" s="27" t="n">
        <x:v>29</x:v>
      </x:c>
      <x:c r="D450" s="27" t="str">
        <x:v>3190001006</x:v>
      </x:c>
      <x:c r="E450" s="28" t="str">
        <x:v>南非:住宿收入:现价:酒店:同比:未季调</x:v>
      </x:c>
      <x:c r="F450" s="28" t="str">
        <x:v>South Africa: Income from Accommodation: At Current Prices: Hotels: YoY: NSA</x:v>
      </x:c>
      <x:c r="G450" s="27" t="str">
        <x:v>月</x:v>
      </x:c>
      <x:c r="H450" s="27" t="str">
        <x:v>%</x:v>
      </x:c>
      <x:c r="I450" s="27" t="str">
        <x:v>当期同比</x:v>
      </x:c>
      <x:c r="J450" s="27" t="str">
        <x:v>南非</x:v>
      </x:c>
      <x:c r="K450" s="27" t="str">
        <x:v>南非</x:v>
      </x:c>
      <x:c r="L450" s="28" t="str">
        <x:v>南非统计局</x:v>
      </x:c>
      <x:c r="M450" s="28" t="str">
        <x:v>getEcoDataGlobeRest</x:v>
      </x:c>
      <x:c r="N450" s="27" t="str">
        <x:v>2008-01-31</x:v>
      </x:c>
      <x:c r="O450" s="27" t="str">
        <x:v>2026-05-31</x:v>
      </x:c>
      <x:c r="P450" s="27" t="str">
        <x:v>持续更新</x:v>
      </x:c>
      <x:c r="Q450" s="27" t="str"/>
      <x:c r="R450" s="28" t="str"/>
    </x:row>
    <x:row r="451" ht="48" customHeight="1">
      <x:c r="A451" s="27" t="str">
        <x:v>801210</x:v>
      </x:c>
      <x:c r="B451" s="27" t="str">
        <x:v>社会服务</x:v>
      </x:c>
      <x:c r="C451" s="27" t="n">
        <x:v>30</x:v>
      </x:c>
      <x:c r="D451" s="27" t="str">
        <x:v>3190000966</x:v>
      </x:c>
      <x:c r="E451" s="28" t="str">
        <x:v>南非:住宿收入:现价:酒店:季调</x:v>
      </x:c>
      <x:c r="F451" s="28" t="str">
        <x:v>South Africa: Income from Accommodation: At Current Prices: Hotels: SA</x:v>
      </x:c>
      <x:c r="G451" s="27" t="str">
        <x:v>月</x:v>
      </x:c>
      <x:c r="H451" s="27" t="str">
        <x:v>百万兰特</x:v>
      </x:c>
      <x:c r="I451" s="27" t="str">
        <x:v>季调</x:v>
      </x:c>
      <x:c r="J451" s="27" t="str">
        <x:v>南非</x:v>
      </x:c>
      <x:c r="K451" s="27" t="str">
        <x:v>南非</x:v>
      </x:c>
      <x:c r="L451" s="28" t="str">
        <x:v>南非统计局</x:v>
      </x:c>
      <x:c r="M451" s="28" t="str">
        <x:v>getEcoDataGlobeRest</x:v>
      </x:c>
      <x:c r="N451" s="27" t="str">
        <x:v>2007-01-31</x:v>
      </x:c>
      <x:c r="O451" s="27" t="str">
        <x:v>2026-05-31</x:v>
      </x:c>
      <x:c r="P451" s="27" t="str">
        <x:v>持续更新</x:v>
      </x:c>
      <x:c r="Q451" s="27" t="str"/>
      <x:c r="R451" s="28" t="str"/>
    </x:row>
    <x:row r="452" ht="48" customHeight="1">
      <x:c r="A452" s="27" t="str">
        <x:v>801710</x:v>
      </x:c>
      <x:c r="B452" s="27" t="str">
        <x:v>建筑材料</x:v>
      </x:c>
      <x:c r="C452" s="27" t="n">
        <x:v>1</x:v>
      </x:c>
      <x:c r="D452" s="27" t="str">
        <x:v>2060819342</x:v>
      </x:c>
      <x:c r="E452" s="28" t="str">
        <x:v>出口金额(美元):水泥、混凝土或人造石制品(6810):当月值</x:v>
      </x:c>
      <x:c r="F452" s="28" t="str">
        <x:v>Export Value (USD): Cement, Concrete or Artificial Stone Products (6810): Current Month Value</x:v>
      </x:c>
      <x:c r="G452" s="27" t="str">
        <x:v>月</x:v>
      </x:c>
      <x:c r="H452" s="27" t="str">
        <x:v>美元</x:v>
      </x:c>
      <x:c r="I452" s="27" t="str">
        <x:v>当期值</x:v>
      </x:c>
      <x:c r="J452" s="27" t="str">
        <x:v>中国</x:v>
      </x:c>
      <x:c r="K452" s="27" t="str">
        <x:v>中国</x:v>
      </x:c>
      <x:c r="L452" s="28" t="str">
        <x:v>海关总署</x:v>
      </x:c>
      <x:c r="M452" s="28" t="str">
        <x:v>getEcoDataIndBuildingmaterials</x:v>
      </x:c>
      <x:c r="N452" s="27" t="str">
        <x:v>2015-01-31</x:v>
      </x:c>
      <x:c r="O452" s="27" t="str">
        <x:v>2026-06-30</x:v>
      </x:c>
      <x:c r="P452" s="27" t="str">
        <x:v>持续更新</x:v>
      </x:c>
      <x:c r="Q452" s="27" t="str"/>
      <x:c r="R452" s="28" t="str"/>
    </x:row>
    <x:row r="453" ht="48" customHeight="1">
      <x:c r="A453" s="27" t="str">
        <x:v>801710</x:v>
      </x:c>
      <x:c r="B453" s="27" t="str">
        <x:v>建筑材料</x:v>
      </x:c>
      <x:c r="C453" s="27" t="n">
        <x:v>2</x:v>
      </x:c>
      <x:c r="D453" s="27" t="str">
        <x:v>2060819202</x:v>
      </x:c>
      <x:c r="E453" s="28" t="str">
        <x:v>出口金额(美元):石料、石膏、水泥、石棉、云母及类似材料的制品(68):当月值</x:v>
      </x:c>
      <x:c r="F453" s="28" t="str">
        <x:v>Export Value (USD): Articles of Stone, Gypsum, Cement, Asbestos, Mica and Similar Materials (68): Current Month Value</x:v>
      </x:c>
      <x:c r="G453" s="27" t="str">
        <x:v>月</x:v>
      </x:c>
      <x:c r="H453" s="27" t="str">
        <x:v>美元</x:v>
      </x:c>
      <x:c r="I453" s="27" t="str">
        <x:v>当期值</x:v>
      </x:c>
      <x:c r="J453" s="27" t="str">
        <x:v>中国</x:v>
      </x:c>
      <x:c r="K453" s="27" t="str">
        <x:v>中国</x:v>
      </x:c>
      <x:c r="L453" s="28" t="str">
        <x:v>海关总署</x:v>
      </x:c>
      <x:c r="M453" s="28" t="str">
        <x:v>getEcoDataIndBuildingmaterials</x:v>
      </x:c>
      <x:c r="N453" s="27" t="str">
        <x:v>2015-01-31</x:v>
      </x:c>
      <x:c r="O453" s="27" t="str">
        <x:v>2026-06-30</x:v>
      </x:c>
      <x:c r="P453" s="27" t="str">
        <x:v>持续更新</x:v>
      </x:c>
      <x:c r="Q453" s="27" t="str"/>
      <x:c r="R453" s="28" t="str"/>
    </x:row>
    <x:row r="454" ht="48" customHeight="1">
      <x:c r="A454" s="27" t="str">
        <x:v>801710</x:v>
      </x:c>
      <x:c r="B454" s="27" t="str">
        <x:v>建筑材料</x:v>
      </x:c>
      <x:c r="C454" s="27" t="n">
        <x:v>3</x:v>
      </x:c>
      <x:c r="D454" s="27" t="str">
        <x:v>1040005448</x:v>
      </x:c>
      <x:c r="E454" s="28" t="str">
        <x:v>生产资料价格:建材:普通硅酸盐水泥:42.5强度,散装:当月值</x:v>
      </x:c>
      <x:c r="F454" s="28" t="str">
        <x:v>Price of Means of Production: Building Materials: Ordinary Portland Cement: 42.5 Strength, in Bulk: Current</x:v>
      </x:c>
      <x:c r="G454" s="27" t="str">
        <x:v>月</x:v>
      </x:c>
      <x:c r="H454" s="27" t="str">
        <x:v>元/吨</x:v>
      </x:c>
      <x:c r="I454" s="27" t="str">
        <x:v>当期值</x:v>
      </x:c>
      <x:c r="J454" s="27" t="str">
        <x:v>全国</x:v>
      </x:c>
      <x:c r="K454" s="27" t="str">
        <x:v>中国</x:v>
      </x:c>
      <x:c r="L454" s="28" t="str">
        <x:v>发改委</x:v>
      </x:c>
      <x:c r="M454" s="28" t="str">
        <x:v>getEcoDataChina</x:v>
      </x:c>
      <x:c r="N454" s="27" t="str">
        <x:v>2015-05-31</x:v>
      </x:c>
      <x:c r="O454" s="27" t="str">
        <x:v>2026-06-30</x:v>
      </x:c>
      <x:c r="P454" s="27" t="str">
        <x:v>持续更新</x:v>
      </x:c>
      <x:c r="Q454" s="27" t="str"/>
      <x:c r="R454" s="28" t="str"/>
    </x:row>
    <x:row r="455" ht="48" customHeight="1">
      <x:c r="A455" s="27" t="str">
        <x:v>801710</x:v>
      </x:c>
      <x:c r="B455" s="27" t="str">
        <x:v>建筑材料</x:v>
      </x:c>
      <x:c r="C455" s="27" t="n">
        <x:v>4</x:v>
      </x:c>
      <x:c r="D455" s="27" t="str">
        <x:v>1040005451</x:v>
      </x:c>
      <x:c r="E455" s="28" t="str">
        <x:v>生产资料价格:建材:普通硅酸盐水泥:52.5强度,散装:当月值</x:v>
      </x:c>
      <x:c r="F455" s="28" t="str">
        <x:v>Price of Means of Production: Building Materials: Portland Cement: 52.5 Strength, in Bulk: Current</x:v>
      </x:c>
      <x:c r="G455" s="27" t="str">
        <x:v>月</x:v>
      </x:c>
      <x:c r="H455" s="27" t="str">
        <x:v>元/吨</x:v>
      </x:c>
      <x:c r="I455" s="27" t="str">
        <x:v>当期值</x:v>
      </x:c>
      <x:c r="J455" s="27" t="str">
        <x:v>全国</x:v>
      </x:c>
      <x:c r="K455" s="27" t="str">
        <x:v>中国</x:v>
      </x:c>
      <x:c r="L455" s="28" t="str">
        <x:v>发改委</x:v>
      </x:c>
      <x:c r="M455" s="28" t="str">
        <x:v>getEcoDataChina</x:v>
      </x:c>
      <x:c r="N455" s="27" t="str">
        <x:v>2015-05-31</x:v>
      </x:c>
      <x:c r="O455" s="27" t="str">
        <x:v>2026-06-30</x:v>
      </x:c>
      <x:c r="P455" s="27" t="str">
        <x:v>持续更新</x:v>
      </x:c>
      <x:c r="Q455" s="27" t="str"/>
      <x:c r="R455" s="28" t="str"/>
    </x:row>
    <x:row r="456" ht="48" customHeight="1">
      <x:c r="A456" s="27" t="str">
        <x:v>801710</x:v>
      </x:c>
      <x:c r="B456" s="27" t="str">
        <x:v>建筑材料</x:v>
      </x:c>
      <x:c r="C456" s="27" t="n">
        <x:v>5</x:v>
      </x:c>
      <x:c r="D456" s="27" t="str">
        <x:v>1040005436</x:v>
      </x:c>
      <x:c r="E456" s="28" t="str">
        <x:v>生产资料价格:建材:浮法平板玻璃:5mm:当月值</x:v>
      </x:c>
      <x:c r="F456" s="28" t="str">
        <x:v>Price of Means of Production: Building Materials: Float Glass: 5mm: Current</x:v>
      </x:c>
      <x:c r="G456" s="27" t="str">
        <x:v>月</x:v>
      </x:c>
      <x:c r="H456" s="27" t="str">
        <x:v>元/平方米</x:v>
      </x:c>
      <x:c r="I456" s="27" t="str">
        <x:v>当期值</x:v>
      </x:c>
      <x:c r="J456" s="27" t="str">
        <x:v>全国</x:v>
      </x:c>
      <x:c r="K456" s="27" t="str">
        <x:v>中国</x:v>
      </x:c>
      <x:c r="L456" s="28" t="str">
        <x:v>发改委</x:v>
      </x:c>
      <x:c r="M456" s="28" t="str">
        <x:v>getEcoDataChina</x:v>
      </x:c>
      <x:c r="N456" s="27" t="str">
        <x:v>2015-05-31</x:v>
      </x:c>
      <x:c r="O456" s="27" t="str">
        <x:v>2026-06-30</x:v>
      </x:c>
      <x:c r="P456" s="27" t="str">
        <x:v>持续更新</x:v>
      </x:c>
      <x:c r="Q456" s="27" t="str"/>
      <x:c r="R456" s="28" t="str"/>
    </x:row>
    <x:row r="457" ht="48" customHeight="1">
      <x:c r="A457" s="27" t="str">
        <x:v>801710</x:v>
      </x:c>
      <x:c r="B457" s="27" t="str">
        <x:v>建筑材料</x:v>
      </x:c>
      <x:c r="C457" s="27" t="n">
        <x:v>6</x:v>
      </x:c>
      <x:c r="D457" s="27" t="str">
        <x:v>1040005445</x:v>
      </x:c>
      <x:c r="E457" s="28" t="str">
        <x:v>生产资料价格:建材:矿渣硅酸盐水泥:42.5强度:当月值</x:v>
      </x:c>
      <x:c r="F457" s="28" t="str">
        <x:v>Price of Means of Production: Building Material: Portland Slag Cement: 42.5 Strength: Current</x:v>
      </x:c>
      <x:c r="G457" s="27" t="str">
        <x:v>月</x:v>
      </x:c>
      <x:c r="H457" s="27" t="str">
        <x:v>元/吨</x:v>
      </x:c>
      <x:c r="I457" s="27" t="str">
        <x:v>当期值</x:v>
      </x:c>
      <x:c r="J457" s="27" t="str">
        <x:v>全国</x:v>
      </x:c>
      <x:c r="K457" s="27" t="str">
        <x:v>中国</x:v>
      </x:c>
      <x:c r="L457" s="28" t="str">
        <x:v>发改委</x:v>
      </x:c>
      <x:c r="M457" s="28" t="str">
        <x:v>getEcoDataChina</x:v>
      </x:c>
      <x:c r="N457" s="27" t="str">
        <x:v>2015-05-31</x:v>
      </x:c>
      <x:c r="O457" s="27" t="str">
        <x:v>2026-06-30</x:v>
      </x:c>
      <x:c r="P457" s="27" t="str">
        <x:v>持续更新</x:v>
      </x:c>
      <x:c r="Q457" s="27" t="str"/>
      <x:c r="R457" s="28" t="str"/>
    </x:row>
    <x:row r="458" ht="48" customHeight="1">
      <x:c r="A458" s="27" t="str">
        <x:v>801710</x:v>
      </x:c>
      <x:c r="B458" s="27" t="str">
        <x:v>建筑材料</x:v>
      </x:c>
      <x:c r="C458" s="27" t="n">
        <x:v>7</x:v>
      </x:c>
      <x:c r="D458" s="27" t="str">
        <x:v>1040005442</x:v>
      </x:c>
      <x:c r="E458" s="28" t="str">
        <x:v>生产资料价格:建材:钢化平板玻璃:5mm:当月值</x:v>
      </x:c>
      <x:c r="F458" s="28" t="str">
        <x:v>Price of Means of Production: Building Materials: Tempered Glass: 5mm: Current</x:v>
      </x:c>
      <x:c r="G458" s="27" t="str">
        <x:v>月</x:v>
      </x:c>
      <x:c r="H458" s="27" t="str">
        <x:v>元/平方米</x:v>
      </x:c>
      <x:c r="I458" s="27" t="str">
        <x:v>当期值</x:v>
      </x:c>
      <x:c r="J458" s="27" t="str">
        <x:v>全国</x:v>
      </x:c>
      <x:c r="K458" s="27" t="str">
        <x:v>中国</x:v>
      </x:c>
      <x:c r="L458" s="28" t="str">
        <x:v>发改委</x:v>
      </x:c>
      <x:c r="M458" s="28" t="str">
        <x:v>getEcoDataChina</x:v>
      </x:c>
      <x:c r="N458" s="27" t="str">
        <x:v>2015-05-31</x:v>
      </x:c>
      <x:c r="O458" s="27" t="str">
        <x:v>2026-06-30</x:v>
      </x:c>
      <x:c r="P458" s="27" t="str">
        <x:v>持续更新</x:v>
      </x:c>
      <x:c r="Q458" s="27" t="str"/>
      <x:c r="R458" s="28" t="str"/>
    </x:row>
    <x:row r="459" ht="48" customHeight="1">
      <x:c r="A459" s="27" t="str">
        <x:v>801710</x:v>
      </x:c>
      <x:c r="B459" s="27" t="str">
        <x:v>建筑材料</x:v>
      </x:c>
      <x:c r="C459" s="27" t="n">
        <x:v>8</x:v>
      </x:c>
      <x:c r="D459" s="27" t="str">
        <x:v>2060819344</x:v>
      </x:c>
      <x:c r="E459" s="28" t="str">
        <x:v>进出口金额(美元):水泥、混凝土或人造石制品(6810):当月值</x:v>
      </x:c>
      <x:c r="F459" s="28" t="str">
        <x:v>Import and Export Value (USD): Cement, Concrete or Artificial Stone Products (6810): Current Month Value</x:v>
      </x:c>
      <x:c r="G459" s="27" t="str">
        <x:v>月</x:v>
      </x:c>
      <x:c r="H459" s="27" t="str">
        <x:v>美元</x:v>
      </x:c>
      <x:c r="I459" s="27" t="str">
        <x:v>当期值</x:v>
      </x:c>
      <x:c r="J459" s="27" t="str">
        <x:v>中国</x:v>
      </x:c>
      <x:c r="K459" s="27" t="str">
        <x:v>中国</x:v>
      </x:c>
      <x:c r="L459" s="28" t="str">
        <x:v>海关总署</x:v>
      </x:c>
      <x:c r="M459" s="28" t="str">
        <x:v>getEcoDataIndBuildingmaterials</x:v>
      </x:c>
      <x:c r="N459" s="27" t="str">
        <x:v>2015-01-31</x:v>
      </x:c>
      <x:c r="O459" s="27" t="str">
        <x:v>2026-06-30</x:v>
      </x:c>
      <x:c r="P459" s="27" t="str">
        <x:v>持续更新</x:v>
      </x:c>
      <x:c r="Q459" s="27" t="str"/>
      <x:c r="R459" s="28" t="str"/>
    </x:row>
    <x:row r="460" ht="48" customHeight="1">
      <x:c r="A460" s="27" t="str">
        <x:v>801710</x:v>
      </x:c>
      <x:c r="B460" s="27" t="str">
        <x:v>建筑材料</x:v>
      </x:c>
      <x:c r="C460" s="27" t="n">
        <x:v>9</x:v>
      </x:c>
      <x:c r="D460" s="27" t="str">
        <x:v>2060819204</x:v>
      </x:c>
      <x:c r="E460" s="28" t="str">
        <x:v>进出口金额(美元):石料、石膏、水泥、石棉、云母及类似材料的制品(68):当月值</x:v>
      </x:c>
      <x:c r="F460" s="28" t="str">
        <x:v>Import and Export Value (USD): Articles of Stone, Gypsum, Cement, Asbestos, Mica and Similar Materials (68): Current Month Value</x:v>
      </x:c>
      <x:c r="G460" s="27" t="str">
        <x:v>月</x:v>
      </x:c>
      <x:c r="H460" s="27" t="str">
        <x:v>美元</x:v>
      </x:c>
      <x:c r="I460" s="27" t="str">
        <x:v>当期值</x:v>
      </x:c>
      <x:c r="J460" s="27" t="str">
        <x:v>中国</x:v>
      </x:c>
      <x:c r="K460" s="27" t="str">
        <x:v>中国</x:v>
      </x:c>
      <x:c r="L460" s="28" t="str">
        <x:v>海关总署</x:v>
      </x:c>
      <x:c r="M460" s="28" t="str">
        <x:v>getEcoDataIndBuildingmaterials</x:v>
      </x:c>
      <x:c r="N460" s="27" t="str">
        <x:v>2015-01-31</x:v>
      </x:c>
      <x:c r="O460" s="27" t="str">
        <x:v>2026-06-30</x:v>
      </x:c>
      <x:c r="P460" s="27" t="str">
        <x:v>持续更新</x:v>
      </x:c>
      <x:c r="Q460" s="27" t="str"/>
      <x:c r="R460" s="28" t="str"/>
    </x:row>
    <x:row r="461" ht="48" customHeight="1">
      <x:c r="A461" s="27" t="str">
        <x:v>801710</x:v>
      </x:c>
      <x:c r="B461" s="27" t="str">
        <x:v>建筑材料</x:v>
      </x:c>
      <x:c r="C461" s="27" t="n">
        <x:v>10</x:v>
      </x:c>
      <x:c r="D461" s="27" t="str">
        <x:v>1020000195</x:v>
      </x:c>
      <x:c r="E461" s="28" t="str">
        <x:v>出口交货值:非金属矿物制品业:当月同比</x:v>
      </x:c>
      <x:c r="F461" s="28" t="str">
        <x:v>Export Delivery Value: Non-Metallic Mineral Products Industry: Current YoY (Month)</x:v>
      </x:c>
      <x:c r="G461" s="27" t="str">
        <x:v>月</x:v>
      </x:c>
      <x:c r="H461" s="27" t="str">
        <x:v>%</x:v>
      </x:c>
      <x:c r="I461" s="27" t="str">
        <x:v>当期同比</x:v>
      </x:c>
      <x:c r="J461" s="27" t="str">
        <x:v>全国</x:v>
      </x:c>
      <x:c r="K461" s="27" t="str">
        <x:v>中国</x:v>
      </x:c>
      <x:c r="L461" s="28" t="str">
        <x:v>国家统计局</x:v>
      </x:c>
      <x:c r="M461" s="28" t="str">
        <x:v>getEcoDataChina</x:v>
      </x:c>
      <x:c r="N461" s="27" t="str">
        <x:v>2007-02-28</x:v>
      </x:c>
      <x:c r="O461" s="27" t="str">
        <x:v>2026-06-30</x:v>
      </x:c>
      <x:c r="P461" s="27" t="str">
        <x:v>持续更新</x:v>
      </x:c>
      <x:c r="Q461" s="27" t="str"/>
      <x:c r="R461" s="28" t="str"/>
    </x:row>
    <x:row r="462" ht="48" customHeight="1">
      <x:c r="A462" s="27" t="str">
        <x:v>801710</x:v>
      </x:c>
      <x:c r="B462" s="27" t="str">
        <x:v>建筑材料</x:v>
      </x:c>
      <x:c r="C462" s="27" t="n">
        <x:v>11</x:v>
      </x:c>
      <x:c r="D462" s="27" t="str">
        <x:v>1020000154</x:v>
      </x:c>
      <x:c r="E462" s="28" t="str">
        <x:v>出口交货值:非金属矿物制品业:当期值</x:v>
      </x:c>
      <x:c r="F462" s="28" t="str">
        <x:v>Export Delivery Value: Non-Metallic Mineral Products Industry: Current Value</x:v>
      </x:c>
      <x:c r="G462" s="27" t="str">
        <x:v>月</x:v>
      </x:c>
      <x:c r="H462" s="27" t="str">
        <x:v>亿元</x:v>
      </x:c>
      <x:c r="I462" s="27" t="str">
        <x:v>当期值</x:v>
      </x:c>
      <x:c r="J462" s="27" t="str">
        <x:v>全国</x:v>
      </x:c>
      <x:c r="K462" s="27" t="str">
        <x:v>中国</x:v>
      </x:c>
      <x:c r="L462" s="28" t="str">
        <x:v>国家统计局</x:v>
      </x:c>
      <x:c r="M462" s="28" t="str">
        <x:v>getEcoDataChina</x:v>
      </x:c>
      <x:c r="N462" s="27" t="str">
        <x:v>2007-02-28</x:v>
      </x:c>
      <x:c r="O462" s="27" t="str">
        <x:v>2026-06-30</x:v>
      </x:c>
      <x:c r="P462" s="27" t="str">
        <x:v>持续更新</x:v>
      </x:c>
      <x:c r="Q462" s="27" t="str"/>
      <x:c r="R462" s="28" t="str"/>
    </x:row>
    <x:row r="463" ht="48" customHeight="1">
      <x:c r="A463" s="27" t="str">
        <x:v>801710</x:v>
      </x:c>
      <x:c r="B463" s="27" t="str">
        <x:v>建筑材料</x:v>
      </x:c>
      <x:c r="C463" s="27" t="n">
        <x:v>12</x:v>
      </x:c>
      <x:c r="D463" s="27" t="str">
        <x:v>2060810247</x:v>
      </x:c>
      <x:c r="E463" s="28" t="str">
        <x:v>出口数量:石灰石助熔剂;制造石灰或水泥的钙质石(2521):当月值</x:v>
      </x:c>
      <x:c r="F463" s="28" t="str">
        <x:v>Export Quantity: Limestone Flux; Calcareous Stone (2521) For Manufacturing Lime Or Cement: Current Month Value</x:v>
      </x:c>
      <x:c r="G463" s="27" t="str">
        <x:v>月</x:v>
      </x:c>
      <x:c r="H463" s="27" t="str">
        <x:v>千克</x:v>
      </x:c>
      <x:c r="I463" s="27" t="str">
        <x:v>当期值</x:v>
      </x:c>
      <x:c r="J463" s="27" t="str">
        <x:v>中国</x:v>
      </x:c>
      <x:c r="K463" s="27" t="str">
        <x:v>中国</x:v>
      </x:c>
      <x:c r="L463" s="28" t="str">
        <x:v>海关总署</x:v>
      </x:c>
      <x:c r="M463" s="28" t="str">
        <x:v>getEcoDataIndBuildingmaterials</x:v>
      </x:c>
      <x:c r="N463" s="27" t="str">
        <x:v>2015-01-31</x:v>
      </x:c>
      <x:c r="O463" s="27" t="str">
        <x:v>2026-06-30</x:v>
      </x:c>
      <x:c r="P463" s="27" t="str">
        <x:v>持续更新</x:v>
      </x:c>
      <x:c r="Q463" s="27" t="str"/>
      <x:c r="R463" s="28" t="str"/>
    </x:row>
    <x:row r="464" ht="48" customHeight="1">
      <x:c r="A464" s="27" t="str">
        <x:v>801710</x:v>
      </x:c>
      <x:c r="B464" s="27" t="str">
        <x:v>建筑材料</x:v>
      </x:c>
      <x:c r="C464" s="27" t="n">
        <x:v>13</x:v>
      </x:c>
      <x:c r="D464" s="27" t="str">
        <x:v>2060809995</x:v>
      </x:c>
      <x:c r="E464" s="28" t="str">
        <x:v>出口金额(人民币):玻璃纤维及其制品(7019):当月值</x:v>
      </x:c>
      <x:c r="F464" s="28" t="str">
        <x:v>Export Amount (Rmb) : Glass Fiber And Its Products (7019) : Value During The Month</x:v>
      </x:c>
      <x:c r="G464" s="27" t="str">
        <x:v>月</x:v>
      </x:c>
      <x:c r="H464" s="27" t="str">
        <x:v>元</x:v>
      </x:c>
      <x:c r="I464" s="27" t="str">
        <x:v>当期值</x:v>
      </x:c>
      <x:c r="J464" s="27" t="str">
        <x:v>中国</x:v>
      </x:c>
      <x:c r="K464" s="27" t="str">
        <x:v>中国</x:v>
      </x:c>
      <x:c r="L464" s="28" t="str">
        <x:v>海关总署</x:v>
      </x:c>
      <x:c r="M464" s="28" t="str">
        <x:v>getEcoDataIndBuildingmaterials</x:v>
      </x:c>
      <x:c r="N464" s="27" t="str">
        <x:v>2015-01-31</x:v>
      </x:c>
      <x:c r="O464" s="27" t="str">
        <x:v>2026-06-30</x:v>
      </x:c>
      <x:c r="P464" s="27" t="str">
        <x:v>持续更新</x:v>
      </x:c>
      <x:c r="Q464" s="27" t="str"/>
      <x:c r="R464" s="28" t="str"/>
    </x:row>
    <x:row r="465" ht="48" customHeight="1">
      <x:c r="A465" s="27" t="str">
        <x:v>801710</x:v>
      </x:c>
      <x:c r="B465" s="27" t="str">
        <x:v>建筑材料</x:v>
      </x:c>
      <x:c r="C465" s="27" t="n">
        <x:v>14</x:v>
      </x:c>
      <x:c r="D465" s="27" t="str">
        <x:v>2060811226</x:v>
      </x:c>
      <x:c r="E465" s="28" t="str">
        <x:v>出口金额(美元):其他玻璃制品(7020):当月值</x:v>
      </x:c>
      <x:c r="F465" s="28" t="str">
        <x:v>Export Value (USD): Other Glass Products(7020): Current Month Value</x:v>
      </x:c>
      <x:c r="G465" s="27" t="str">
        <x:v>月</x:v>
      </x:c>
      <x:c r="H465" s="27" t="str">
        <x:v>美元</x:v>
      </x:c>
      <x:c r="I465" s="27" t="str">
        <x:v>当期值</x:v>
      </x:c>
      <x:c r="J465" s="27" t="str">
        <x:v>中国</x:v>
      </x:c>
      <x:c r="K465" s="27" t="str">
        <x:v>中国</x:v>
      </x:c>
      <x:c r="L465" s="28" t="str">
        <x:v>海关总署</x:v>
      </x:c>
      <x:c r="M465" s="28" t="str">
        <x:v>getEcoDataIndBuildingmaterials</x:v>
      </x:c>
      <x:c r="N465" s="27" t="str">
        <x:v>2015-01-31</x:v>
      </x:c>
      <x:c r="O465" s="27" t="str">
        <x:v>2026-06-30</x:v>
      </x:c>
      <x:c r="P465" s="27" t="str">
        <x:v>持续更新</x:v>
      </x:c>
      <x:c r="Q465" s="27" t="str"/>
      <x:c r="R465" s="28" t="str"/>
    </x:row>
    <x:row r="466" ht="48" customHeight="1">
      <x:c r="A466" s="27" t="str">
        <x:v>801710</x:v>
      </x:c>
      <x:c r="B466" s="27" t="str">
        <x:v>建筑材料</x:v>
      </x:c>
      <x:c r="C466" s="27" t="n">
        <x:v>15</x:v>
      </x:c>
      <x:c r="D466" s="27" t="str">
        <x:v>2060809996</x:v>
      </x:c>
      <x:c r="E466" s="28" t="str">
        <x:v>出口金额(美元):玻璃纤维及其制品(7019):当月值</x:v>
      </x:c>
      <x:c r="F466" s="28" t="str">
        <x:v>Export Amount (Us $) : Glass Fiber And Its Products (7019) : Value During The Month</x:v>
      </x:c>
      <x:c r="G466" s="27" t="str">
        <x:v>月</x:v>
      </x:c>
      <x:c r="H466" s="27" t="str">
        <x:v>美元</x:v>
      </x:c>
      <x:c r="I466" s="27" t="str">
        <x:v>当期值</x:v>
      </x:c>
      <x:c r="J466" s="27" t="str">
        <x:v>中国</x:v>
      </x:c>
      <x:c r="K466" s="27" t="str">
        <x:v>中国</x:v>
      </x:c>
      <x:c r="L466" s="28" t="str">
        <x:v>海关总署</x:v>
      </x:c>
      <x:c r="M466" s="28" t="str">
        <x:v>getEcoDataIndBuildingmaterials</x:v>
      </x:c>
      <x:c r="N466" s="27" t="str">
        <x:v>2015-01-31</x:v>
      </x:c>
      <x:c r="O466" s="27" t="str">
        <x:v>2026-06-30</x:v>
      </x:c>
      <x:c r="P466" s="27" t="str">
        <x:v>持续更新</x:v>
      </x:c>
      <x:c r="Q466" s="27" t="str"/>
      <x:c r="R466" s="28" t="str"/>
    </x:row>
    <x:row r="467" ht="48" customHeight="1">
      <x:c r="A467" s="27" t="str">
        <x:v>801710</x:v>
      </x:c>
      <x:c r="B467" s="27" t="str">
        <x:v>建筑材料</x:v>
      </x:c>
      <x:c r="C467" s="27" t="n">
        <x:v>16</x:v>
      </x:c>
      <x:c r="D467" s="27" t="str">
        <x:v>2060819356</x:v>
      </x:c>
      <x:c r="E467" s="28" t="str">
        <x:v>出口金额(美元):石棉水泥、纤维素水泥或类似材料的制品(6811):当月值</x:v>
      </x:c>
      <x:c r="F467" s="28" t="str">
        <x:v>Export Value (USD): Products of Asbestos Cement, Cellulose Cement or Similar Materials (6811): Current Month Value</x:v>
      </x:c>
      <x:c r="G467" s="27" t="str">
        <x:v>月</x:v>
      </x:c>
      <x:c r="H467" s="27" t="str">
        <x:v>美元</x:v>
      </x:c>
      <x:c r="I467" s="27" t="str">
        <x:v>当期值</x:v>
      </x:c>
      <x:c r="J467" s="27" t="str">
        <x:v>中国</x:v>
      </x:c>
      <x:c r="K467" s="27" t="str">
        <x:v>中国</x:v>
      </x:c>
      <x:c r="L467" s="28" t="str">
        <x:v>海关总署</x:v>
      </x:c>
      <x:c r="M467" s="28" t="str">
        <x:v>getEcoDataIndBuildingmaterials</x:v>
      </x:c>
      <x:c r="N467" s="27" t="str">
        <x:v>2015-01-31</x:v>
      </x:c>
      <x:c r="O467" s="27" t="str">
        <x:v>2026-06-30</x:v>
      </x:c>
      <x:c r="P467" s="27" t="str">
        <x:v>持续更新</x:v>
      </x:c>
      <x:c r="Q467" s="27" t="str"/>
      <x:c r="R467" s="28" t="str"/>
    </x:row>
    <x:row r="468" ht="48" customHeight="1">
      <x:c r="A468" s="27" t="str">
        <x:v>801710</x:v>
      </x:c>
      <x:c r="B468" s="27" t="str">
        <x:v>建筑材料</x:v>
      </x:c>
      <x:c r="C468" s="27" t="n">
        <x:v>17</x:v>
      </x:c>
      <x:c r="D468" s="27" t="str">
        <x:v>2060810240</x:v>
      </x:c>
      <x:c r="E468" s="28" t="str">
        <x:v>出口金额(美元):石灰石助熔剂;制造石灰或水泥的钙质石(2521):当月值</x:v>
      </x:c>
      <x:c r="F468" s="28" t="str">
        <x:v>Export Value (USD): Limestone Flux; Calcareous Stone For Manufacturing Lime Or Cement (2521): Current Month Value</x:v>
      </x:c>
      <x:c r="G468" s="27" t="str">
        <x:v>月</x:v>
      </x:c>
      <x:c r="H468" s="27" t="str">
        <x:v>美元</x:v>
      </x:c>
      <x:c r="I468" s="27" t="str">
        <x:v>当期值</x:v>
      </x:c>
      <x:c r="J468" s="27" t="str">
        <x:v>中国</x:v>
      </x:c>
      <x:c r="K468" s="27" t="str">
        <x:v>中国</x:v>
      </x:c>
      <x:c r="L468" s="28" t="str">
        <x:v>海关总署</x:v>
      </x:c>
      <x:c r="M468" s="28" t="str">
        <x:v>getEcoDataIndBuildingmaterials</x:v>
      </x:c>
      <x:c r="N468" s="27" t="str">
        <x:v>2015-01-31</x:v>
      </x:c>
      <x:c r="O468" s="27" t="str">
        <x:v>2026-06-30</x:v>
      </x:c>
      <x:c r="P468" s="27" t="str">
        <x:v>持续更新</x:v>
      </x:c>
      <x:c r="Q468" s="27" t="str"/>
      <x:c r="R468" s="28" t="str"/>
    </x:row>
    <x:row r="469" ht="48" customHeight="1">
      <x:c r="A469" s="27" t="str">
        <x:v>801710</x:v>
      </x:c>
      <x:c r="B469" s="27" t="str">
        <x:v>建筑材料</x:v>
      </x:c>
      <x:c r="C469" s="27" t="n">
        <x:v>18</x:v>
      </x:c>
      <x:c r="D469" s="27" t="str">
        <x:v>2060819328</x:v>
      </x:c>
      <x:c r="E469" s="28" t="str">
        <x:v>出口金额(美元):石膏制品及以石膏为基本成分的混合材料制品(6809):当月值</x:v>
      </x:c>
      <x:c r="F469" s="28" t="str">
        <x:v>Export Value (USD): Gypsum Products and Mixed Material Products With Gypsum As The Basic Component (6809): Current Month Value</x:v>
      </x:c>
      <x:c r="G469" s="27" t="str">
        <x:v>月</x:v>
      </x:c>
      <x:c r="H469" s="27" t="str">
        <x:v>美元</x:v>
      </x:c>
      <x:c r="I469" s="27" t="str">
        <x:v>当期值</x:v>
      </x:c>
      <x:c r="J469" s="27" t="str">
        <x:v>中国</x:v>
      </x:c>
      <x:c r="K469" s="27" t="str">
        <x:v>中国</x:v>
      </x:c>
      <x:c r="L469" s="28" t="str">
        <x:v>海关总署</x:v>
      </x:c>
      <x:c r="M469" s="28" t="str">
        <x:v>getEcoDataIndBuildingmaterials</x:v>
      </x:c>
      <x:c r="N469" s="27" t="str">
        <x:v>2015-01-31</x:v>
      </x:c>
      <x:c r="O469" s="27" t="str">
        <x:v>2026-06-30</x:v>
      </x:c>
      <x:c r="P469" s="27" t="str">
        <x:v>持续更新</x:v>
      </x:c>
      <x:c r="Q469" s="27" t="str"/>
      <x:c r="R469" s="28" t="str"/>
    </x:row>
    <x:row r="470" ht="48" customHeight="1">
      <x:c r="A470" s="27" t="str">
        <x:v>801710</x:v>
      </x:c>
      <x:c r="B470" s="27" t="str">
        <x:v>建筑材料</x:v>
      </x:c>
      <x:c r="C470" s="27" t="n">
        <x:v>19</x:v>
      </x:c>
      <x:c r="D470" s="27" t="str">
        <x:v>2060810274</x:v>
      </x:c>
      <x:c r="E470" s="28" t="str">
        <x:v>出口金额(美元):硅酸盐水泥、矾土水泥等类似的水凝水泥(2523):当月值</x:v>
      </x:c>
      <x:c r="F470" s="28" t="str">
        <x:v>Export Value (USD): Portland Cement, Bauxite Cement And Similar Hydraulic Cement (2523): Current Month Value</x:v>
      </x:c>
      <x:c r="G470" s="27" t="str">
        <x:v>月</x:v>
      </x:c>
      <x:c r="H470" s="27" t="str">
        <x:v>美元</x:v>
      </x:c>
      <x:c r="I470" s="27" t="str">
        <x:v>当期值</x:v>
      </x:c>
      <x:c r="J470" s="27" t="str">
        <x:v>中国</x:v>
      </x:c>
      <x:c r="K470" s="27" t="str">
        <x:v>中国</x:v>
      </x:c>
      <x:c r="L470" s="28" t="str">
        <x:v>海关总署</x:v>
      </x:c>
      <x:c r="M470" s="28" t="str">
        <x:v>getEcoDataIndBuildingmaterials</x:v>
      </x:c>
      <x:c r="N470" s="27" t="str">
        <x:v>2015-01-31</x:v>
      </x:c>
      <x:c r="O470" s="27" t="str">
        <x:v>2026-06-30</x:v>
      </x:c>
      <x:c r="P470" s="27" t="str">
        <x:v>持续更新</x:v>
      </x:c>
      <x:c r="Q470" s="27" t="str"/>
      <x:c r="R470" s="28" t="str"/>
    </x:row>
    <x:row r="471" ht="48" customHeight="1">
      <x:c r="A471" s="27" t="str">
        <x:v>801710</x:v>
      </x:c>
      <x:c r="B471" s="27" t="str">
        <x:v>建筑材料</x:v>
      </x:c>
      <x:c r="C471" s="27" t="n">
        <x:v>20</x:v>
      </x:c>
      <x:c r="D471" s="27" t="str">
        <x:v>2060819412</x:v>
      </x:c>
      <x:c r="E471" s="28" t="str">
        <x:v>出口金额(美元):耐火砖瓦及类似耐火陶瓷建材制品(6902):当月值</x:v>
      </x:c>
      <x:c r="F471" s="28" t="str">
        <x:v>Export Value (USD): Refractory Bricks, Tiles and Similar Refractory Ceramic Building Materials (6902): Current Month Value</x:v>
      </x:c>
      <x:c r="G471" s="27" t="str">
        <x:v>月</x:v>
      </x:c>
      <x:c r="H471" s="27" t="str">
        <x:v>美元</x:v>
      </x:c>
      <x:c r="I471" s="27" t="str">
        <x:v>当期值</x:v>
      </x:c>
      <x:c r="J471" s="27" t="str">
        <x:v>中国</x:v>
      </x:c>
      <x:c r="K471" s="27" t="str">
        <x:v>中国</x:v>
      </x:c>
      <x:c r="L471" s="28" t="str">
        <x:v>海关总署</x:v>
      </x:c>
      <x:c r="M471" s="28" t="str">
        <x:v>getEcoDataIndBuildingmaterials</x:v>
      </x:c>
      <x:c r="N471" s="27" t="str">
        <x:v>2015-01-31</x:v>
      </x:c>
      <x:c r="O471" s="27" t="str">
        <x:v>2026-06-30</x:v>
      </x:c>
      <x:c r="P471" s="27" t="str">
        <x:v>持续更新</x:v>
      </x:c>
      <x:c r="Q471" s="27" t="str"/>
      <x:c r="R471" s="28" t="str"/>
    </x:row>
    <x:row r="472" ht="48" customHeight="1">
      <x:c r="A472" s="27" t="str">
        <x:v>801710</x:v>
      </x:c>
      <x:c r="B472" s="27" t="str">
        <x:v>建筑材料</x:v>
      </x:c>
      <x:c r="C472" s="27" t="n">
        <x:v>21</x:v>
      </x:c>
      <x:c r="D472" s="27" t="str">
        <x:v>1020008262</x:v>
      </x:c>
      <x:c r="E472" s="28" t="str">
        <x:v>工业企业:利润总额:非金属矿物制品业:累计值</x:v>
      </x:c>
      <x:c r="F472" s="28" t="str">
        <x:v>Total Profit: Non-Metallic Mineral Manufacturing Industry: Cumulative Value</x:v>
      </x:c>
      <x:c r="G472" s="27" t="str">
        <x:v>月</x:v>
      </x:c>
      <x:c r="H472" s="27" t="str">
        <x:v>亿元</x:v>
      </x:c>
      <x:c r="I472" s="27" t="str">
        <x:v>累计值</x:v>
      </x:c>
      <x:c r="J472" s="27" t="str">
        <x:v>全国</x:v>
      </x:c>
      <x:c r="K472" s="27" t="str">
        <x:v>中国</x:v>
      </x:c>
      <x:c r="L472" s="28" t="str">
        <x:v>国家统计局</x:v>
      </x:c>
      <x:c r="M472" s="28" t="str">
        <x:v>getEcoDataChina</x:v>
      </x:c>
      <x:c r="N472" s="27" t="str">
        <x:v>2000-02-29</x:v>
      </x:c>
      <x:c r="O472" s="27" t="str">
        <x:v>2026-06-30</x:v>
      </x:c>
      <x:c r="P472" s="27" t="str">
        <x:v>持续更新</x:v>
      </x:c>
      <x:c r="Q472" s="27" t="str"/>
      <x:c r="R472" s="28" t="str"/>
    </x:row>
    <x:row r="473" ht="48" customHeight="1">
      <x:c r="A473" s="27" t="str">
        <x:v>801710</x:v>
      </x:c>
      <x:c r="B473" s="27" t="str">
        <x:v>建筑材料</x:v>
      </x:c>
      <x:c r="C473" s="27" t="n">
        <x:v>22</x:v>
      </x:c>
      <x:c r="D473" s="27" t="str">
        <x:v>1020010193</x:v>
      </x:c>
      <x:c r="E473" s="28" t="str">
        <x:v>工业企业:营业利润:非金属矿物制品业:累计值</x:v>
      </x:c>
      <x:c r="F473" s="28" t="str">
        <x:v>Operating Profit: Non-Metallic Mineral Manufacturing Industry: Cumulative Value</x:v>
      </x:c>
      <x:c r="G473" s="27" t="str">
        <x:v>月</x:v>
      </x:c>
      <x:c r="H473" s="27" t="str">
        <x:v>亿元</x:v>
      </x:c>
      <x:c r="I473" s="27" t="str">
        <x:v>累计值</x:v>
      </x:c>
      <x:c r="J473" s="27" t="str">
        <x:v>全国</x:v>
      </x:c>
      <x:c r="K473" s="27" t="str">
        <x:v>中国</x:v>
      </x:c>
      <x:c r="L473" s="28" t="str">
        <x:v>国家统计局</x:v>
      </x:c>
      <x:c r="M473" s="28" t="str">
        <x:v>getEcoDataChina</x:v>
      </x:c>
      <x:c r="N473" s="27" t="str">
        <x:v>2017-02-28</x:v>
      </x:c>
      <x:c r="O473" s="27" t="str">
        <x:v>2026-06-30</x:v>
      </x:c>
      <x:c r="P473" s="27" t="str">
        <x:v>持续更新</x:v>
      </x:c>
      <x:c r="Q473" s="27" t="str"/>
      <x:c r="R473" s="28" t="str"/>
    </x:row>
    <x:row r="474" ht="48" customHeight="1">
      <x:c r="A474" s="27" t="str">
        <x:v>801710</x:v>
      </x:c>
      <x:c r="B474" s="27" t="str">
        <x:v>建筑材料</x:v>
      </x:c>
      <x:c r="C474" s="27" t="n">
        <x:v>23</x:v>
      </x:c>
      <x:c r="D474" s="27" t="str">
        <x:v>1020001570</x:v>
      </x:c>
      <x:c r="E474" s="28" t="str">
        <x:v>平板玻璃:产量:当月值</x:v>
      </x:c>
      <x:c r="F474" s="28" t="str">
        <x:v>Output: Plate Glass</x:v>
      </x:c>
      <x:c r="G474" s="27" t="str">
        <x:v>月</x:v>
      </x:c>
      <x:c r="H474" s="27" t="str">
        <x:v>万重量箱</x:v>
      </x:c>
      <x:c r="I474" s="27" t="str">
        <x:v>当期值</x:v>
      </x:c>
      <x:c r="J474" s="27" t="str">
        <x:v>全国</x:v>
      </x:c>
      <x:c r="K474" s="27" t="str">
        <x:v>中国</x:v>
      </x:c>
      <x:c r="L474" s="28" t="str">
        <x:v>国家统计局</x:v>
      </x:c>
      <x:c r="M474" s="28" t="str">
        <x:v>getEcoDataChina</x:v>
      </x:c>
      <x:c r="N474" s="27" t="str">
        <x:v>1989-02-28</x:v>
      </x:c>
      <x:c r="O474" s="27" t="str">
        <x:v>2026-06-30</x:v>
      </x:c>
      <x:c r="P474" s="27" t="str">
        <x:v>持续更新</x:v>
      </x:c>
      <x:c r="Q474" s="27" t="str"/>
      <x:c r="R474" s="28" t="str"/>
    </x:row>
    <x:row r="475" ht="48" customHeight="1">
      <x:c r="A475" s="27" t="str">
        <x:v>801710</x:v>
      </x:c>
      <x:c r="B475" s="27" t="str">
        <x:v>建筑材料</x:v>
      </x:c>
      <x:c r="C475" s="27" t="n">
        <x:v>24</x:v>
      </x:c>
      <x:c r="D475" s="27" t="str">
        <x:v>1020000941</x:v>
      </x:c>
      <x:c r="E475" s="28" t="str">
        <x:v>成本费用利润率:非金属矿物制品业</x:v>
      </x:c>
      <x:c r="F475" s="28" t="str">
        <x:v>Profit-To-Cost Ratio: Non-Metallic Mineral Products Industry</x:v>
      </x:c>
      <x:c r="G475" s="27" t="str">
        <x:v>月</x:v>
      </x:c>
      <x:c r="H475" s="27" t="str">
        <x:v>%</x:v>
      </x:c>
      <x:c r="I475" s="27" t="str">
        <x:v>当期值</x:v>
      </x:c>
      <x:c r="J475" s="27" t="str">
        <x:v>全国</x:v>
      </x:c>
      <x:c r="K475" s="27" t="str">
        <x:v>中国</x:v>
      </x:c>
      <x:c r="L475" s="28" t="str">
        <x:v>国家统计局</x:v>
      </x:c>
      <x:c r="M475" s="28" t="str">
        <x:v>getEcoDataChina</x:v>
      </x:c>
      <x:c r="N475" s="27" t="str">
        <x:v>2003-02-28</x:v>
      </x:c>
      <x:c r="O475" s="27" t="str">
        <x:v>2026-06-30</x:v>
      </x:c>
      <x:c r="P475" s="27" t="str">
        <x:v>持续更新</x:v>
      </x:c>
      <x:c r="Q475" s="27" t="str"/>
      <x:c r="R475" s="28" t="str"/>
    </x:row>
    <x:row r="476" ht="48" customHeight="1">
      <x:c r="A476" s="27" t="str">
        <x:v>801710</x:v>
      </x:c>
      <x:c r="B476" s="27" t="str">
        <x:v>建筑材料</x:v>
      </x:c>
      <x:c r="C476" s="27" t="n">
        <x:v>25</x:v>
      </x:c>
      <x:c r="D476" s="27" t="str">
        <x:v>1020001569</x:v>
      </x:c>
      <x:c r="E476" s="28" t="str">
        <x:v>水泥:产量:当月值</x:v>
      </x:c>
      <x:c r="F476" s="28" t="str">
        <x:v>Output: Cement: Current Value (Month)</x:v>
      </x:c>
      <x:c r="G476" s="27" t="str">
        <x:v>月</x:v>
      </x:c>
      <x:c r="H476" s="27" t="str">
        <x:v>万吨</x:v>
      </x:c>
      <x:c r="I476" s="27" t="str">
        <x:v>当期值</x:v>
      </x:c>
      <x:c r="J476" s="27" t="str">
        <x:v>全国</x:v>
      </x:c>
      <x:c r="K476" s="27" t="str">
        <x:v>中国</x:v>
      </x:c>
      <x:c r="L476" s="28" t="str">
        <x:v>国家统计局</x:v>
      </x:c>
      <x:c r="M476" s="28" t="str">
        <x:v>getEcoDataChina</x:v>
      </x:c>
      <x:c r="N476" s="27" t="str">
        <x:v>1989-02-28</x:v>
      </x:c>
      <x:c r="O476" s="27" t="str">
        <x:v>2026-06-30</x:v>
      </x:c>
      <x:c r="P476" s="27" t="str">
        <x:v>持续更新</x:v>
      </x:c>
      <x:c r="Q476" s="27" t="str"/>
      <x:c r="R476" s="28" t="str"/>
    </x:row>
    <x:row r="477" ht="48" customHeight="1">
      <x:c r="A477" s="27" t="str">
        <x:v>801710</x:v>
      </x:c>
      <x:c r="B477" s="27" t="str">
        <x:v>建筑材料</x:v>
      </x:c>
      <x:c r="C477" s="27" t="n">
        <x:v>26</x:v>
      </x:c>
      <x:c r="D477" s="27" t="str">
        <x:v>1020000861</x:v>
      </x:c>
      <x:c r="E477" s="28" t="str">
        <x:v>税前利润率:非金属矿物制品业</x:v>
      </x:c>
      <x:c r="F477" s="28" t="str">
        <x:v>Pre-Tax Profit Margin: Non-Metallic Mineral Products Industry</x:v>
      </x:c>
      <x:c r="G477" s="27" t="str">
        <x:v>月</x:v>
      </x:c>
      <x:c r="H477" s="27" t="str">
        <x:v>%</x:v>
      </x:c>
      <x:c r="I477" s="27" t="str">
        <x:v>当期值</x:v>
      </x:c>
      <x:c r="J477" s="27" t="str">
        <x:v>全国</x:v>
      </x:c>
      <x:c r="K477" s="27" t="str">
        <x:v>中国</x:v>
      </x:c>
      <x:c r="L477" s="28" t="str">
        <x:v>国家统计局</x:v>
      </x:c>
      <x:c r="M477" s="28" t="str">
        <x:v>getEcoDataChina</x:v>
      </x:c>
      <x:c r="N477" s="27" t="str">
        <x:v>2000-02-29</x:v>
      </x:c>
      <x:c r="O477" s="27" t="str">
        <x:v>2026-06-30</x:v>
      </x:c>
      <x:c r="P477" s="27" t="str">
        <x:v>持续更新</x:v>
      </x:c>
      <x:c r="Q477" s="27" t="str"/>
      <x:c r="R477" s="28" t="str"/>
    </x:row>
    <x:row r="478" ht="48" customHeight="1">
      <x:c r="A478" s="27" t="str">
        <x:v>801710</x:v>
      </x:c>
      <x:c r="B478" s="27" t="str">
        <x:v>建筑材料</x:v>
      </x:c>
      <x:c r="C478" s="27" t="n">
        <x:v>27</x:v>
      </x:c>
      <x:c r="D478" s="27" t="str">
        <x:v>2060810249</x:v>
      </x:c>
      <x:c r="E478" s="28" t="str">
        <x:v>进出口数量:石灰石助熔剂;制造石灰或水泥的钙质石(2521):当月值</x:v>
      </x:c>
      <x:c r="F478" s="28" t="str">
        <x:v>Import And Export Quantity: Limestone Flux; Calcareous Stone For Manufacturing Lime Or Cement (2521): Current Month Value</x:v>
      </x:c>
      <x:c r="G478" s="27" t="str">
        <x:v>月</x:v>
      </x:c>
      <x:c r="H478" s="27" t="str">
        <x:v>千克</x:v>
      </x:c>
      <x:c r="I478" s="27" t="str">
        <x:v>当期值</x:v>
      </x:c>
      <x:c r="J478" s="27" t="str">
        <x:v>中国</x:v>
      </x:c>
      <x:c r="K478" s="27" t="str">
        <x:v>中国</x:v>
      </x:c>
      <x:c r="L478" s="28" t="str">
        <x:v>海关总署</x:v>
      </x:c>
      <x:c r="M478" s="28" t="str">
        <x:v>getEcoDataIndBuildingmaterials</x:v>
      </x:c>
      <x:c r="N478" s="27" t="str">
        <x:v>2015-01-31</x:v>
      </x:c>
      <x:c r="O478" s="27" t="str">
        <x:v>2026-06-30</x:v>
      </x:c>
      <x:c r="P478" s="27" t="str">
        <x:v>持续更新</x:v>
      </x:c>
      <x:c r="Q478" s="27" t="str"/>
      <x:c r="R478" s="28" t="str"/>
    </x:row>
    <x:row r="479" ht="48" customHeight="1">
      <x:c r="A479" s="27" t="str">
        <x:v>801710</x:v>
      </x:c>
      <x:c r="B479" s="27" t="str">
        <x:v>建筑材料</x:v>
      </x:c>
      <x:c r="C479" s="27" t="n">
        <x:v>28</x:v>
      </x:c>
      <x:c r="D479" s="27" t="str">
        <x:v>2060811228</x:v>
      </x:c>
      <x:c r="E479" s="28" t="str">
        <x:v>进出口金额(美元):其他玻璃制品(7020):当月值</x:v>
      </x:c>
      <x:c r="F479" s="28" t="str">
        <x:v>Import And Export Value (USD): Other Glass Products(7020): Current Month Value</x:v>
      </x:c>
      <x:c r="G479" s="27" t="str">
        <x:v>月</x:v>
      </x:c>
      <x:c r="H479" s="27" t="str">
        <x:v>美元</x:v>
      </x:c>
      <x:c r="I479" s="27" t="str">
        <x:v>当期值</x:v>
      </x:c>
      <x:c r="J479" s="27" t="str">
        <x:v>中国</x:v>
      </x:c>
      <x:c r="K479" s="27" t="str">
        <x:v>中国</x:v>
      </x:c>
      <x:c r="L479" s="28" t="str">
        <x:v>海关总署</x:v>
      </x:c>
      <x:c r="M479" s="28" t="str">
        <x:v>getEcoDataIndBuildingmaterials</x:v>
      </x:c>
      <x:c r="N479" s="27" t="str">
        <x:v>2015-01-31</x:v>
      </x:c>
      <x:c r="O479" s="27" t="str">
        <x:v>2026-06-30</x:v>
      </x:c>
      <x:c r="P479" s="27" t="str">
        <x:v>持续更新</x:v>
      </x:c>
      <x:c r="Q479" s="27" t="str"/>
      <x:c r="R479" s="28" t="str"/>
    </x:row>
    <x:row r="480" ht="48" customHeight="1">
      <x:c r="A480" s="27" t="str">
        <x:v>801710</x:v>
      </x:c>
      <x:c r="B480" s="27" t="str">
        <x:v>建筑材料</x:v>
      </x:c>
      <x:c r="C480" s="27" t="n">
        <x:v>29</x:v>
      </x:c>
      <x:c r="D480" s="27" t="str">
        <x:v>2060811214</x:v>
      </x:c>
      <x:c r="E480" s="28" t="str">
        <x:v>进出口金额(美元):玻璃纤维及其制品(7019):当月值</x:v>
      </x:c>
      <x:c r="F480" s="28" t="str">
        <x:v>Import And Export Value (USD): Glass Fiber And Its Products(7019): Current Month Value</x:v>
      </x:c>
      <x:c r="G480" s="27" t="str">
        <x:v>月</x:v>
      </x:c>
      <x:c r="H480" s="27" t="str">
        <x:v>美元</x:v>
      </x:c>
      <x:c r="I480" s="27" t="str">
        <x:v>当期值</x:v>
      </x:c>
      <x:c r="J480" s="27" t="str">
        <x:v>中国</x:v>
      </x:c>
      <x:c r="K480" s="27" t="str">
        <x:v>中国</x:v>
      </x:c>
      <x:c r="L480" s="28" t="str">
        <x:v>海关总署</x:v>
      </x:c>
      <x:c r="M480" s="28" t="str">
        <x:v>getEcoDataIndBuildingmaterials</x:v>
      </x:c>
      <x:c r="N480" s="27" t="str">
        <x:v>2015-01-31</x:v>
      </x:c>
      <x:c r="O480" s="27" t="str">
        <x:v>2026-06-30</x:v>
      </x:c>
      <x:c r="P480" s="27" t="str">
        <x:v>持续更新</x:v>
      </x:c>
      <x:c r="Q480" s="27" t="str"/>
      <x:c r="R480" s="28" t="str"/>
    </x:row>
    <x:row r="481" ht="48" customHeight="1">
      <x:c r="A481" s="27" t="str">
        <x:v>801710</x:v>
      </x:c>
      <x:c r="B481" s="27" t="str">
        <x:v>建筑材料</x:v>
      </x:c>
      <x:c r="C481" s="27" t="n">
        <x:v>30</x:v>
      </x:c>
      <x:c r="D481" s="27" t="str">
        <x:v>2060819358</x:v>
      </x:c>
      <x:c r="E481" s="28" t="str">
        <x:v>进出口金额(美元):石棉水泥、纤维素水泥或类似材料的制品(6811):当月值</x:v>
      </x:c>
      <x:c r="F481" s="28" t="str">
        <x:v>Import and Export Value (USD): Products of Asbestos Cement, Cellulose Cement or Similar Materials (6811): Current Month Value</x:v>
      </x:c>
      <x:c r="G481" s="27" t="str">
        <x:v>月</x:v>
      </x:c>
      <x:c r="H481" s="27" t="str">
        <x:v>美元</x:v>
      </x:c>
      <x:c r="I481" s="27" t="str">
        <x:v>当期值</x:v>
      </x:c>
      <x:c r="J481" s="27" t="str">
        <x:v>中国</x:v>
      </x:c>
      <x:c r="K481" s="27" t="str">
        <x:v>中国</x:v>
      </x:c>
      <x:c r="L481" s="28" t="str">
        <x:v>海关总署</x:v>
      </x:c>
      <x:c r="M481" s="28" t="str">
        <x:v>getEcoDataIndBuildingmaterials</x:v>
      </x:c>
      <x:c r="N481" s="27" t="str">
        <x:v>2015-01-31</x:v>
      </x:c>
      <x:c r="O481" s="27" t="str">
        <x:v>2026-06-30</x:v>
      </x:c>
      <x:c r="P481" s="27" t="str">
        <x:v>持续更新</x:v>
      </x:c>
      <x:c r="Q481" s="27" t="str"/>
      <x:c r="R481" s="28" t="str"/>
    </x:row>
    <x:row r="482" ht="48" customHeight="1">
      <x:c r="A482" s="27" t="str">
        <x:v>801720</x:v>
      </x:c>
      <x:c r="B482" s="27" t="str">
        <x:v>建筑装饰</x:v>
      </x:c>
      <x:c r="C482" s="27" t="n">
        <x:v>1</x:v>
      </x:c>
      <x:c r="D482" s="27" t="str">
        <x:v>2170923949</x:v>
      </x:c>
      <x:c r="E482" s="28" t="str">
        <x:v>建筑业企业本年新签合同额:累计同比</x:v>
      </x:c>
      <x:c r="F482" s="28" t="str">
        <x:v>Value of Newly Signed Constructional Enterprises Contract This Year: Cumulative</x:v>
      </x:c>
      <x:c r="G482" s="27" t="str">
        <x:v>季</x:v>
      </x:c>
      <x:c r="H482" s="27" t="str">
        <x:v>%</x:v>
      </x:c>
      <x:c r="I482" s="27" t="str">
        <x:v>累计同比</x:v>
      </x:c>
      <x:c r="J482" s="27" t="str">
        <x:v>中国</x:v>
      </x:c>
      <x:c r="K482" s="27" t="str">
        <x:v>中国</x:v>
      </x:c>
      <x:c r="L482" s="28" t="str">
        <x:v>Datayes!</x:v>
      </x:c>
      <x:c r="M482" s="28" t="str">
        <x:v>getEcoDataIndRealestate</x:v>
      </x:c>
      <x:c r="N482" s="27" t="str">
        <x:v>2005-03-31</x:v>
      </x:c>
      <x:c r="O482" s="27" t="str">
        <x:v>2026-06-30</x:v>
      </x:c>
      <x:c r="P482" s="27" t="str">
        <x:v>持续更新</x:v>
      </x:c>
      <x:c r="Q482" s="27" t="str"/>
      <x:c r="R482" s="28" t="str"/>
    </x:row>
    <x:row r="483" ht="48" customHeight="1">
      <x:c r="A483" s="27" t="str">
        <x:v>801720</x:v>
      </x:c>
      <x:c r="B483" s="27" t="str">
        <x:v>建筑装饰</x:v>
      </x:c>
      <x:c r="C483" s="27" t="n">
        <x:v>2</x:v>
      </x:c>
      <x:c r="D483" s="27" t="str">
        <x:v>1050021433</x:v>
      </x:c>
      <x:c r="E483" s="28" t="str">
        <x:v>固定资产投资完成额:基础设施建设投资:累计同比</x:v>
      </x:c>
      <x:c r="F483" s="28" t="str">
        <x:v>Fixed Assets Investment Completed: Infrastructure Construction Investment: Cumulative YoY</x:v>
      </x:c>
      <x:c r="G483" s="27" t="str">
        <x:v>月</x:v>
      </x:c>
      <x:c r="H483" s="27" t="str">
        <x:v>%</x:v>
      </x:c>
      <x:c r="I483" s="27" t="str">
        <x:v>累计同比</x:v>
      </x:c>
      <x:c r="J483" s="27" t="str">
        <x:v>全国</x:v>
      </x:c>
      <x:c r="K483" s="27" t="str">
        <x:v>中国</x:v>
      </x:c>
      <x:c r="L483" s="28" t="str">
        <x:v>Datayes!</x:v>
      </x:c>
      <x:c r="M483" s="28" t="str">
        <x:v>getEcoDataChina</x:v>
      </x:c>
      <x:c r="N483" s="27" t="str">
        <x:v>2004-02-29</x:v>
      </x:c>
      <x:c r="O483" s="27" t="str">
        <x:v>2026-06-30</x:v>
      </x:c>
      <x:c r="P483" s="27" t="str">
        <x:v>持续更新</x:v>
      </x:c>
      <x:c r="Q483" s="27" t="str"/>
      <x:c r="R483" s="28" t="str"/>
    </x:row>
    <x:row r="484" ht="48" customHeight="1">
      <x:c r="A484" s="27" t="str">
        <x:v>801720</x:v>
      </x:c>
      <x:c r="B484" s="27" t="str">
        <x:v>建筑装饰</x:v>
      </x:c>
      <x:c r="C484" s="27" t="n">
        <x:v>3</x:v>
      </x:c>
      <x:c r="D484" s="27" t="str">
        <x:v>1050000369</x:v>
      </x:c>
      <x:c r="E484" s="28" t="str">
        <x:v>固定资产投资完成额:建筑业:累计同比</x:v>
      </x:c>
      <x:c r="F484" s="28" t="str">
        <x:v>Fixed Assets Investment Realized: Cumulative YoY: Construction Industry </x:v>
      </x:c>
      <x:c r="G484" s="27" t="str">
        <x:v>月</x:v>
      </x:c>
      <x:c r="H484" s="27" t="str">
        <x:v>%</x:v>
      </x:c>
      <x:c r="I484" s="27" t="str">
        <x:v>累计同比</x:v>
      </x:c>
      <x:c r="J484" s="27" t="str">
        <x:v>全国</x:v>
      </x:c>
      <x:c r="K484" s="27" t="str">
        <x:v>中国</x:v>
      </x:c>
      <x:c r="L484" s="28" t="str">
        <x:v>国家统计局</x:v>
      </x:c>
      <x:c r="M484" s="28" t="str">
        <x:v>getEcoDataChina</x:v>
      </x:c>
      <x:c r="N484" s="27" t="str">
        <x:v>2004-02-29</x:v>
      </x:c>
      <x:c r="O484" s="27" t="str">
        <x:v>2026-06-30</x:v>
      </x:c>
      <x:c r="P484" s="27" t="str">
        <x:v>持续更新</x:v>
      </x:c>
      <x:c r="Q484" s="27" t="str"/>
      <x:c r="R484" s="28" t="str"/>
    </x:row>
    <x:row r="485" ht="48" customHeight="1">
      <x:c r="A485" s="27" t="str">
        <x:v>801720</x:v>
      </x:c>
      <x:c r="B485" s="27" t="str">
        <x:v>建筑装饰</x:v>
      </x:c>
      <x:c r="C485" s="27" t="n">
        <x:v>4</x:v>
      </x:c>
      <x:c r="D485" s="27" t="str">
        <x:v>1050000056</x:v>
      </x:c>
      <x:c r="E485" s="28" t="str">
        <x:v>固定资产投资完成额:建筑安装工程:累计同比</x:v>
      </x:c>
      <x:c r="F485" s="28" t="str">
        <x:v>Fixed Assets Investment Completed: Construction And Installation Work: Cumulative YoY</x:v>
      </x:c>
      <x:c r="G485" s="27" t="str">
        <x:v>月</x:v>
      </x:c>
      <x:c r="H485" s="27" t="str">
        <x:v>%</x:v>
      </x:c>
      <x:c r="I485" s="27" t="str">
        <x:v>累计同比</x:v>
      </x:c>
      <x:c r="J485" s="27" t="str">
        <x:v>全国</x:v>
      </x:c>
      <x:c r="K485" s="27" t="str">
        <x:v>中国</x:v>
      </x:c>
      <x:c r="L485" s="28" t="str">
        <x:v>国家统计局</x:v>
      </x:c>
      <x:c r="M485" s="28" t="str">
        <x:v>getEcoDataChina</x:v>
      </x:c>
      <x:c r="N485" s="27" t="str">
        <x:v>2004-02-29</x:v>
      </x:c>
      <x:c r="O485" s="27" t="str">
        <x:v>2026-06-30</x:v>
      </x:c>
      <x:c r="P485" s="27" t="str">
        <x:v>持续更新</x:v>
      </x:c>
      <x:c r="Q485" s="27" t="str"/>
      <x:c r="R485" s="28" t="str"/>
    </x:row>
    <x:row r="486" ht="48" customHeight="1">
      <x:c r="A486" s="27" t="str">
        <x:v>801720</x:v>
      </x:c>
      <x:c r="B486" s="27" t="str">
        <x:v>建筑装饰</x:v>
      </x:c>
      <x:c r="C486" s="27" t="n">
        <x:v>5</x:v>
      </x:c>
      <x:c r="D486" s="27" t="str">
        <x:v>1050007874</x:v>
      </x:c>
      <x:c r="E486" s="28" t="str">
        <x:v>基础设施建设投资:当月同比</x:v>
      </x:c>
      <x:c r="F486" s="28" t="str">
        <x:v>Infrastructure Development Investment: Month YoY</x:v>
      </x:c>
      <x:c r="G486" s="27" t="str">
        <x:v>月</x:v>
      </x:c>
      <x:c r="H486" s="27" t="str">
        <x:v>%</x:v>
      </x:c>
      <x:c r="I486" s="27" t="str">
        <x:v>当期同比</x:v>
      </x:c>
      <x:c r="J486" s="27" t="str">
        <x:v>全国</x:v>
      </x:c>
      <x:c r="K486" s="27" t="str">
        <x:v>中国</x:v>
      </x:c>
      <x:c r="L486" s="28" t="str">
        <x:v>Datayes!</x:v>
      </x:c>
      <x:c r="M486" s="28" t="str">
        <x:v>getEcoDataChina</x:v>
      </x:c>
      <x:c r="N486" s="27" t="str">
        <x:v>2004-03-31</x:v>
      </x:c>
      <x:c r="O486" s="27" t="str">
        <x:v>2026-06-30</x:v>
      </x:c>
      <x:c r="P486" s="27" t="str">
        <x:v>持续更新</x:v>
      </x:c>
      <x:c r="Q486" s="27" t="str"/>
      <x:c r="R486" s="28" t="str"/>
    </x:row>
    <x:row r="487" ht="48" customHeight="1">
      <x:c r="A487" s="27" t="str">
        <x:v>801720</x:v>
      </x:c>
      <x:c r="B487" s="27" t="str">
        <x:v>建筑装饰</x:v>
      </x:c>
      <x:c r="C487" s="27" t="n">
        <x:v>6</x:v>
      </x:c>
      <x:c r="D487" s="27" t="str">
        <x:v>1050000446</x:v>
      </x:c>
      <x:c r="E487" s="28" t="str">
        <x:v>民间固定资产投资完成额:建筑业:累计同比</x:v>
      </x:c>
      <x:c r="F487" s="28" t="str">
        <x:v>Private Investment In Fixed Assets Completed: Construction Industry: Cumulative YoY</x:v>
      </x:c>
      <x:c r="G487" s="27" t="str">
        <x:v>月</x:v>
      </x:c>
      <x:c r="H487" s="27" t="str">
        <x:v>%</x:v>
      </x:c>
      <x:c r="I487" s="27" t="str">
        <x:v>累计同比</x:v>
      </x:c>
      <x:c r="J487" s="27" t="str">
        <x:v>全国</x:v>
      </x:c>
      <x:c r="K487" s="27" t="str">
        <x:v>中国</x:v>
      </x:c>
      <x:c r="L487" s="28" t="str">
        <x:v>国家统计局</x:v>
      </x:c>
      <x:c r="M487" s="28" t="str">
        <x:v>getEcoDataChina</x:v>
      </x:c>
      <x:c r="N487" s="27" t="str">
        <x:v>2012-03-31</x:v>
      </x:c>
      <x:c r="O487" s="27" t="str">
        <x:v>2026-06-30</x:v>
      </x:c>
      <x:c r="P487" s="27" t="str">
        <x:v>持续更新</x:v>
      </x:c>
      <x:c r="Q487" s="27" t="str"/>
      <x:c r="R487" s="28" t="str"/>
    </x:row>
    <x:row r="488" ht="48" customHeight="1">
      <x:c r="A488" s="27" t="str">
        <x:v>801720</x:v>
      </x:c>
      <x:c r="B488" s="27" t="str">
        <x:v>建筑装饰</x:v>
      </x:c>
      <x:c r="C488" s="27" t="n">
        <x:v>7</x:v>
      </x:c>
      <x:c r="D488" s="27" t="str">
        <x:v>2170923944</x:v>
      </x:c>
      <x:c r="E488" s="28" t="str">
        <x:v>建筑业安装工程产值:累计同比</x:v>
      </x:c>
      <x:c r="F488" s="28" t="str">
        <x:v>Output of Installation Engineering: Cumulative</x:v>
      </x:c>
      <x:c r="G488" s="27" t="str">
        <x:v>季</x:v>
      </x:c>
      <x:c r="H488" s="27" t="str">
        <x:v>%</x:v>
      </x:c>
      <x:c r="I488" s="27" t="str">
        <x:v>累计同比</x:v>
      </x:c>
      <x:c r="J488" s="27" t="str">
        <x:v>中国</x:v>
      </x:c>
      <x:c r="K488" s="27" t="str">
        <x:v>中国</x:v>
      </x:c>
      <x:c r="L488" s="28" t="str">
        <x:v>Datayes!</x:v>
      </x:c>
      <x:c r="M488" s="28" t="str">
        <x:v>getEcoDataIndRealestate</x:v>
      </x:c>
      <x:c r="N488" s="27" t="str">
        <x:v>2004-06-30</x:v>
      </x:c>
      <x:c r="O488" s="27" t="str">
        <x:v>2026-06-30</x:v>
      </x:c>
      <x:c r="P488" s="27" t="str">
        <x:v>持续更新</x:v>
      </x:c>
      <x:c r="Q488" s="27" t="str"/>
      <x:c r="R488" s="28" t="str"/>
    </x:row>
    <x:row r="489" ht="48" customHeight="1">
      <x:c r="A489" s="27" t="str">
        <x:v>801720</x:v>
      </x:c>
      <x:c r="B489" s="27" t="str">
        <x:v>建筑装饰</x:v>
      </x:c>
      <x:c r="C489" s="27" t="n">
        <x:v>8</x:v>
      </x:c>
      <x:c r="D489" s="27" t="str">
        <x:v>2170923945</x:v>
      </x:c>
      <x:c r="E489" s="28" t="str">
        <x:v>建筑业建筑工程产值:累计同比</x:v>
      </x:c>
      <x:c r="F489" s="28" t="str">
        <x:v>Output of Constructional Engineering: Cumulative</x:v>
      </x:c>
      <x:c r="G489" s="27" t="str">
        <x:v>季</x:v>
      </x:c>
      <x:c r="H489" s="27" t="str">
        <x:v>%</x:v>
      </x:c>
      <x:c r="I489" s="27" t="str">
        <x:v>累计同比</x:v>
      </x:c>
      <x:c r="J489" s="27" t="str">
        <x:v>中国</x:v>
      </x:c>
      <x:c r="K489" s="27" t="str">
        <x:v>中国</x:v>
      </x:c>
      <x:c r="L489" s="28" t="str">
        <x:v>Datayes!</x:v>
      </x:c>
      <x:c r="M489" s="28" t="str">
        <x:v>getEcoDataIndRealestate</x:v>
      </x:c>
      <x:c r="N489" s="27" t="str">
        <x:v>2004-06-30</x:v>
      </x:c>
      <x:c r="O489" s="27" t="str">
        <x:v>2026-06-30</x:v>
      </x:c>
      <x:c r="P489" s="27" t="str">
        <x:v>持续更新</x:v>
      </x:c>
      <x:c r="Q489" s="27" t="str"/>
      <x:c r="R489" s="28" t="str"/>
    </x:row>
    <x:row r="490" ht="48" customHeight="1">
      <x:c r="A490" s="27" t="str">
        <x:v>801720</x:v>
      </x:c>
      <x:c r="B490" s="27" t="str">
        <x:v>建筑装饰</x:v>
      </x:c>
      <x:c r="C490" s="27" t="n">
        <x:v>9</x:v>
      </x:c>
      <x:c r="D490" s="27" t="str">
        <x:v>2170923943</x:v>
      </x:c>
      <x:c r="E490" s="28" t="str">
        <x:v>建筑业总产值:累计同比</x:v>
      </x:c>
      <x:c r="F490" s="28" t="str">
        <x:v>Output of Construction Industry: YOY Quarterly</x:v>
      </x:c>
      <x:c r="G490" s="27" t="str">
        <x:v>季</x:v>
      </x:c>
      <x:c r="H490" s="27" t="str">
        <x:v>%</x:v>
      </x:c>
      <x:c r="I490" s="27" t="str">
        <x:v>累计同比</x:v>
      </x:c>
      <x:c r="J490" s="27" t="str">
        <x:v>中国</x:v>
      </x:c>
      <x:c r="K490" s="27" t="str">
        <x:v>中国</x:v>
      </x:c>
      <x:c r="L490" s="28" t="str">
        <x:v>Datayes!</x:v>
      </x:c>
      <x:c r="M490" s="28" t="str">
        <x:v>getEcoDataIndRealestate</x:v>
      </x:c>
      <x:c r="N490" s="27" t="str">
        <x:v>2004-06-30</x:v>
      </x:c>
      <x:c r="O490" s="27" t="str">
        <x:v>2026-06-30</x:v>
      </x:c>
      <x:c r="P490" s="27" t="str">
        <x:v>持续更新</x:v>
      </x:c>
      <x:c r="Q490" s="27" t="str"/>
      <x:c r="R490" s="28" t="str"/>
    </x:row>
    <x:row r="491" ht="48" customHeight="1">
      <x:c r="A491" s="27" t="str">
        <x:v>801720</x:v>
      </x:c>
      <x:c r="B491" s="27" t="str">
        <x:v>建筑装饰</x:v>
      </x:c>
      <x:c r="C491" s="27" t="n">
        <x:v>10</x:v>
      </x:c>
      <x:c r="D491" s="27" t="str">
        <x:v>2170700008</x:v>
      </x:c>
      <x:c r="E491" s="28" t="str">
        <x:v>建筑业竣工产值:累计值</x:v>
      </x:c>
      <x:c r="F491" s="28" t="str">
        <x:v>Output of Construction Completion: Cumulative</x:v>
      </x:c>
      <x:c r="G491" s="27" t="str">
        <x:v>季</x:v>
      </x:c>
      <x:c r="H491" s="27" t="str">
        <x:v>亿元</x:v>
      </x:c>
      <x:c r="I491" s="27" t="str">
        <x:v>累计值</x:v>
      </x:c>
      <x:c r="J491" s="27" t="str">
        <x:v>全国</x:v>
      </x:c>
      <x:c r="K491" s="27" t="str">
        <x:v>中国</x:v>
      </x:c>
      <x:c r="L491" s="28" t="str">
        <x:v>国家统计局</x:v>
      </x:c>
      <x:c r="M491" s="28" t="str">
        <x:v>getEcoDataIndRealestate</x:v>
      </x:c>
      <x:c r="N491" s="27" t="str">
        <x:v>2003-06-30</x:v>
      </x:c>
      <x:c r="O491" s="27" t="str">
        <x:v>2026-06-30</x:v>
      </x:c>
      <x:c r="P491" s="27" t="str">
        <x:v>持续更新</x:v>
      </x:c>
      <x:c r="Q491" s="27" t="str"/>
      <x:c r="R491" s="28" t="str"/>
    </x:row>
    <x:row r="492" ht="48" customHeight="1">
      <x:c r="A492" s="27" t="str">
        <x:v>801720</x:v>
      </x:c>
      <x:c r="B492" s="27" t="str">
        <x:v>建筑装饰</x:v>
      </x:c>
      <x:c r="C492" s="27" t="n">
        <x:v>11</x:v>
      </x:c>
      <x:c r="D492" s="27" t="str">
        <x:v>2170923947</x:v>
      </x:c>
      <x:c r="E492" s="28" t="str">
        <x:v>房屋建筑施工面积:累计同比</x:v>
      </x:c>
      <x:c r="F492" s="28" t="str">
        <x:v>Housing Construction Area: Cumulative</x:v>
      </x:c>
      <x:c r="G492" s="27" t="str">
        <x:v>季</x:v>
      </x:c>
      <x:c r="H492" s="27" t="str">
        <x:v>%</x:v>
      </x:c>
      <x:c r="I492" s="27" t="str">
        <x:v>累计同比</x:v>
      </x:c>
      <x:c r="J492" s="27" t="str">
        <x:v>中国</x:v>
      </x:c>
      <x:c r="K492" s="27" t="str">
        <x:v>中国</x:v>
      </x:c>
      <x:c r="L492" s="28" t="str">
        <x:v>Datayes!</x:v>
      </x:c>
      <x:c r="M492" s="28" t="str">
        <x:v>getEcoDataIndRealestate</x:v>
      </x:c>
      <x:c r="N492" s="27" t="str">
        <x:v>2004-06-30</x:v>
      </x:c>
      <x:c r="O492" s="27" t="str">
        <x:v>2026-06-30</x:v>
      </x:c>
      <x:c r="P492" s="27" t="str">
        <x:v>持续更新</x:v>
      </x:c>
      <x:c r="Q492" s="27" t="str"/>
      <x:c r="R492" s="28" t="str"/>
    </x:row>
    <x:row r="493" ht="48" customHeight="1">
      <x:c r="A493" s="27" t="str">
        <x:v>801720</x:v>
      </x:c>
      <x:c r="B493" s="27" t="str">
        <x:v>建筑装饰</x:v>
      </x:c>
      <x:c r="C493" s="27" t="n">
        <x:v>12</x:v>
      </x:c>
      <x:c r="D493" s="27" t="str">
        <x:v>2170923946</x:v>
      </x:c>
      <x:c r="E493" s="28" t="str">
        <x:v>房屋建筑竣工面积:累计同比</x:v>
      </x:c>
      <x:c r="F493" s="28" t="str">
        <x:v>Floor Space of Completed Building: Cumulative</x:v>
      </x:c>
      <x:c r="G493" s="27" t="str">
        <x:v>季</x:v>
      </x:c>
      <x:c r="H493" s="27" t="str">
        <x:v>%</x:v>
      </x:c>
      <x:c r="I493" s="27" t="str">
        <x:v>累计同比</x:v>
      </x:c>
      <x:c r="J493" s="27" t="str">
        <x:v>中国</x:v>
      </x:c>
      <x:c r="K493" s="27" t="str">
        <x:v>中国</x:v>
      </x:c>
      <x:c r="L493" s="28" t="str">
        <x:v>Datayes!</x:v>
      </x:c>
      <x:c r="M493" s="28" t="str">
        <x:v>getEcoDataIndRealestate</x:v>
      </x:c>
      <x:c r="N493" s="27" t="str">
        <x:v>2005-03-31</x:v>
      </x:c>
      <x:c r="O493" s="27" t="str">
        <x:v>2026-06-30</x:v>
      </x:c>
      <x:c r="P493" s="27" t="str">
        <x:v>持续更新</x:v>
      </x:c>
      <x:c r="Q493" s="27" t="str"/>
      <x:c r="R493" s="28" t="str"/>
    </x:row>
    <x:row r="494" ht="48" customHeight="1">
      <x:c r="A494" s="27" t="str">
        <x:v>801720</x:v>
      </x:c>
      <x:c r="B494" s="27" t="str">
        <x:v>建筑装饰</x:v>
      </x:c>
      <x:c r="C494" s="27" t="n">
        <x:v>13</x:v>
      </x:c>
      <x:c r="D494" s="27" t="str">
        <x:v>1030000727</x:v>
      </x:c>
      <x:c r="E494" s="28" t="str">
        <x:v>非制造业PMI:建筑业:新订单</x:v>
      </x:c>
      <x:c r="F494" s="28" t="str">
        <x:v>Non-manufacturing PMI: Construction Industry: New Orders</x:v>
      </x:c>
      <x:c r="G494" s="27" t="str">
        <x:v>月</x:v>
      </x:c>
      <x:c r="H494" s="27" t="str">
        <x:v>%</x:v>
      </x:c>
      <x:c r="I494" s="27" t="str">
        <x:v>当期值</x:v>
      </x:c>
      <x:c r="J494" s="27" t="str">
        <x:v>全国</x:v>
      </x:c>
      <x:c r="K494" s="27" t="str">
        <x:v>中国</x:v>
      </x:c>
      <x:c r="L494" s="28" t="str">
        <x:v>国家统计局</x:v>
      </x:c>
      <x:c r="M494" s="28" t="str">
        <x:v>getEcoDataChina</x:v>
      </x:c>
      <x:c r="N494" s="27" t="str">
        <x:v>2008-02-29</x:v>
      </x:c>
      <x:c r="O494" s="27" t="str">
        <x:v>2026-07-31</x:v>
      </x:c>
      <x:c r="P494" s="27" t="str">
        <x:v>持续更新</x:v>
      </x:c>
      <x:c r="Q494" s="27" t="str"/>
      <x:c r="R494" s="28" t="str"/>
    </x:row>
    <x:row r="495" ht="48" customHeight="1">
      <x:c r="A495" s="27" t="str">
        <x:v>801720</x:v>
      </x:c>
      <x:c r="B495" s="27" t="str">
        <x:v>建筑装饰</x:v>
      </x:c>
      <x:c r="C495" s="27" t="n">
        <x:v>14</x:v>
      </x:c>
      <x:c r="D495" s="27" t="str">
        <x:v>2170700010</x:v>
      </x:c>
      <x:c r="E495" s="28" t="str">
        <x:v>建筑业企业上年结转合同额:累计值</x:v>
      </x:c>
      <x:c r="F495" s="28" t="str">
        <x:v>Value of Constructional Enterprises Contact Settlement and Transfer During Last Year: Cumulative</x:v>
      </x:c>
      <x:c r="G495" s="27" t="str">
        <x:v>季</x:v>
      </x:c>
      <x:c r="H495" s="27" t="str">
        <x:v>亿元</x:v>
      </x:c>
      <x:c r="I495" s="27" t="str">
        <x:v>累计值</x:v>
      </x:c>
      <x:c r="J495" s="27" t="str">
        <x:v>全国</x:v>
      </x:c>
      <x:c r="K495" s="27" t="str">
        <x:v>中国</x:v>
      </x:c>
      <x:c r="L495" s="28" t="str">
        <x:v>国家统计局</x:v>
      </x:c>
      <x:c r="M495" s="28" t="str">
        <x:v>getEcoDataIndRealestate</x:v>
      </x:c>
      <x:c r="N495" s="27" t="str">
        <x:v>2004-03-31</x:v>
      </x:c>
      <x:c r="O495" s="27" t="str">
        <x:v>2026-06-30</x:v>
      </x:c>
      <x:c r="P495" s="27" t="str">
        <x:v>持续更新</x:v>
      </x:c>
      <x:c r="Q495" s="27" t="str"/>
      <x:c r="R495" s="28" t="str"/>
    </x:row>
    <x:row r="496" ht="48" customHeight="1">
      <x:c r="A496" s="27" t="str">
        <x:v>801720</x:v>
      </x:c>
      <x:c r="B496" s="27" t="str">
        <x:v>建筑装饰</x:v>
      </x:c>
      <x:c r="C496" s="27" t="n">
        <x:v>15</x:v>
      </x:c>
      <x:c r="D496" s="27" t="str">
        <x:v>2170700009</x:v>
      </x:c>
      <x:c r="E496" s="28" t="str">
        <x:v>建筑业企业签订合同金额:累计值</x:v>
      </x:c>
      <x:c r="F496" s="28" t="str">
        <x:v>Value of Constructional Enterprises Contracts: Cumulative</x:v>
      </x:c>
      <x:c r="G496" s="27" t="str">
        <x:v>季</x:v>
      </x:c>
      <x:c r="H496" s="27" t="str">
        <x:v>亿元</x:v>
      </x:c>
      <x:c r="I496" s="27" t="str">
        <x:v>累计值</x:v>
      </x:c>
      <x:c r="J496" s="27" t="str">
        <x:v>全国</x:v>
      </x:c>
      <x:c r="K496" s="27" t="str">
        <x:v>中国</x:v>
      </x:c>
      <x:c r="L496" s="28" t="str">
        <x:v>国家统计局</x:v>
      </x:c>
      <x:c r="M496" s="28" t="str">
        <x:v>getEcoDataIndRealestate</x:v>
      </x:c>
      <x:c r="N496" s="27" t="str">
        <x:v>2004-03-31</x:v>
      </x:c>
      <x:c r="O496" s="27" t="str">
        <x:v>2026-06-30</x:v>
      </x:c>
      <x:c r="P496" s="27" t="str">
        <x:v>持续更新</x:v>
      </x:c>
      <x:c r="Q496" s="27" t="str"/>
      <x:c r="R496" s="28" t="str"/>
    </x:row>
    <x:row r="497" ht="48" customHeight="1">
      <x:c r="A497" s="27" t="str">
        <x:v>801720</x:v>
      </x:c>
      <x:c r="B497" s="27" t="str">
        <x:v>建筑装饰</x:v>
      </x:c>
      <x:c r="C497" s="27" t="n">
        <x:v>16</x:v>
      </x:c>
      <x:c r="D497" s="27" t="str">
        <x:v>1010008420</x:v>
      </x:c>
      <x:c r="E497" s="28" t="str">
        <x:v>GDP:不变价:建筑业:当季同比</x:v>
      </x:c>
      <x:c r="F497" s="28" t="str">
        <x:v>GDP: at Constant Price: Construction: Current Quarter YoY</x:v>
      </x:c>
      <x:c r="G497" s="27" t="str">
        <x:v>季</x:v>
      </x:c>
      <x:c r="H497" s="27" t="str">
        <x:v>%</x:v>
      </x:c>
      <x:c r="I497" s="27" t="str">
        <x:v>当期同比</x:v>
      </x:c>
      <x:c r="J497" s="27" t="str">
        <x:v>全国</x:v>
      </x:c>
      <x:c r="K497" s="27" t="str">
        <x:v>中国</x:v>
      </x:c>
      <x:c r="L497" s="28" t="str">
        <x:v>国家统计局</x:v>
      </x:c>
      <x:c r="M497" s="28" t="str">
        <x:v>getEcoDataChina</x:v>
      </x:c>
      <x:c r="N497" s="27" t="str">
        <x:v>1993-03-31</x:v>
      </x:c>
      <x:c r="O497" s="27" t="str">
        <x:v>2026-06-30</x:v>
      </x:c>
      <x:c r="P497" s="27" t="str">
        <x:v>持续更新</x:v>
      </x:c>
      <x:c r="Q497" s="27" t="str"/>
      <x:c r="R497" s="28" t="str"/>
    </x:row>
    <x:row r="498" ht="48" customHeight="1">
      <x:c r="A498" s="27" t="str">
        <x:v>801720</x:v>
      </x:c>
      <x:c r="B498" s="27" t="str">
        <x:v>建筑装饰</x:v>
      </x:c>
      <x:c r="C498" s="27" t="n">
        <x:v>17</x:v>
      </x:c>
      <x:c r="D498" s="27" t="str">
        <x:v>1010000022</x:v>
      </x:c>
      <x:c r="E498" s="28" t="str">
        <x:v>GDP:不变价:建筑业:累计同比</x:v>
      </x:c>
      <x:c r="F498" s="28" t="str">
        <x:v>GDP: at Constant Price: Construction: Cumulative YoY</x:v>
      </x:c>
      <x:c r="G498" s="27" t="str">
        <x:v>季</x:v>
      </x:c>
      <x:c r="H498" s="27" t="str">
        <x:v>%</x:v>
      </x:c>
      <x:c r="I498" s="27" t="str">
        <x:v>累计同比</x:v>
      </x:c>
      <x:c r="J498" s="27" t="str">
        <x:v>全国</x:v>
      </x:c>
      <x:c r="K498" s="27" t="str">
        <x:v>中国</x:v>
      </x:c>
      <x:c r="L498" s="28" t="str">
        <x:v>国家统计局</x:v>
      </x:c>
      <x:c r="M498" s="28" t="str">
        <x:v>getEcoDataChina</x:v>
      </x:c>
      <x:c r="N498" s="27" t="str">
        <x:v>1953-12-31</x:v>
      </x:c>
      <x:c r="O498" s="27" t="str">
        <x:v>2026-06-30</x:v>
      </x:c>
      <x:c r="P498" s="27" t="str">
        <x:v>持续更新</x:v>
      </x:c>
      <x:c r="Q498" s="27" t="str"/>
      <x:c r="R498" s="28" t="str"/>
    </x:row>
    <x:row r="499" ht="48" customHeight="1">
      <x:c r="A499" s="27" t="str">
        <x:v>801720</x:v>
      </x:c>
      <x:c r="B499" s="27" t="str">
        <x:v>建筑装饰</x:v>
      </x:c>
      <x:c r="C499" s="27" t="n">
        <x:v>18</x:v>
      </x:c>
      <x:c r="D499" s="27" t="str">
        <x:v>1010017949</x:v>
      </x:c>
      <x:c r="E499" s="28" t="str">
        <x:v>GDP:现价:初步核算数:建筑业:当季同比</x:v>
      </x:c>
      <x:c r="F499" s="28" t="str">
        <x:v>GDP: at Current Price: Preliminary Accounting Results: Construction: Current Quarter YoY</x:v>
      </x:c>
      <x:c r="G499" s="27" t="str">
        <x:v>季</x:v>
      </x:c>
      <x:c r="H499" s="27" t="str">
        <x:v>%</x:v>
      </x:c>
      <x:c r="I499" s="27" t="str">
        <x:v>初值同比</x:v>
      </x:c>
      <x:c r="J499" s="27" t="str">
        <x:v>全国</x:v>
      </x:c>
      <x:c r="K499" s="27" t="str">
        <x:v>中国</x:v>
      </x:c>
      <x:c r="L499" s="28" t="str">
        <x:v>Datayes!</x:v>
      </x:c>
      <x:c r="M499" s="28" t="str">
        <x:v>getEcoDataChina</x:v>
      </x:c>
      <x:c r="N499" s="27" t="str">
        <x:v>2016-09-30</x:v>
      </x:c>
      <x:c r="O499" s="27" t="str">
        <x:v>2026-06-30</x:v>
      </x:c>
      <x:c r="P499" s="27" t="str">
        <x:v>持续更新</x:v>
      </x:c>
      <x:c r="Q499" s="27" t="str"/>
      <x:c r="R499" s="28" t="str"/>
    </x:row>
    <x:row r="500" ht="48" customHeight="1">
      <x:c r="A500" s="27" t="str">
        <x:v>801720</x:v>
      </x:c>
      <x:c r="B500" s="27" t="str">
        <x:v>建筑装饰</x:v>
      </x:c>
      <x:c r="C500" s="27" t="n">
        <x:v>19</x:v>
      </x:c>
      <x:c r="D500" s="27" t="str">
        <x:v>1010017976</x:v>
      </x:c>
      <x:c r="E500" s="28" t="str">
        <x:v>GDP:现价:初步核算数:建筑业:累计同比</x:v>
      </x:c>
      <x:c r="F500" s="28" t="str">
        <x:v>GDP: at Current Price: Preliminary Accounting Results: Construction: Cumulative YoY</x:v>
      </x:c>
      <x:c r="G500" s="27" t="str">
        <x:v>季</x:v>
      </x:c>
      <x:c r="H500" s="27" t="str">
        <x:v>%</x:v>
      </x:c>
      <x:c r="I500" s="27" t="str">
        <x:v>累计同比(初值)</x:v>
      </x:c>
      <x:c r="J500" s="27" t="str">
        <x:v>全国</x:v>
      </x:c>
      <x:c r="K500" s="27" t="str">
        <x:v>中国</x:v>
      </x:c>
      <x:c r="L500" s="28" t="str">
        <x:v>Datayes!</x:v>
      </x:c>
      <x:c r="M500" s="28" t="str">
        <x:v>getEcoDataChina</x:v>
      </x:c>
      <x:c r="N500" s="27" t="str">
        <x:v>2013-09-30</x:v>
      </x:c>
      <x:c r="O500" s="27" t="str">
        <x:v>2026-06-30</x:v>
      </x:c>
      <x:c r="P500" s="27" t="str">
        <x:v>持续更新</x:v>
      </x:c>
      <x:c r="Q500" s="27" t="str"/>
      <x:c r="R500" s="28" t="str"/>
    </x:row>
    <x:row r="501" ht="48" customHeight="1">
      <x:c r="A501" s="27" t="str">
        <x:v>801720</x:v>
      </x:c>
      <x:c r="B501" s="27" t="str">
        <x:v>建筑装饰</x:v>
      </x:c>
      <x:c r="C501" s="27" t="n">
        <x:v>20</x:v>
      </x:c>
      <x:c r="D501" s="27" t="str">
        <x:v>1010015483</x:v>
      </x:c>
      <x:c r="E501" s="28" t="str">
        <x:v>GDP:现价:建筑业:当季同比</x:v>
      </x:c>
      <x:c r="F501" s="28" t="str">
        <x:v>GDP: at Current Price: Construction: Current Quarter YoY</x:v>
      </x:c>
      <x:c r="G501" s="27" t="str">
        <x:v>季</x:v>
      </x:c>
      <x:c r="H501" s="27" t="str">
        <x:v>%</x:v>
      </x:c>
      <x:c r="I501" s="27" t="str">
        <x:v>当期同比</x:v>
      </x:c>
      <x:c r="J501" s="27" t="str">
        <x:v>全国</x:v>
      </x:c>
      <x:c r="K501" s="27" t="str">
        <x:v>中国</x:v>
      </x:c>
      <x:c r="L501" s="28" t="str">
        <x:v>Datayes!</x:v>
      </x:c>
      <x:c r="M501" s="28" t="str">
        <x:v>getEcoDataChina</x:v>
      </x:c>
      <x:c r="N501" s="27" t="str">
        <x:v>1993-03-31</x:v>
      </x:c>
      <x:c r="O501" s="27" t="str">
        <x:v>2026-06-30</x:v>
      </x:c>
      <x:c r="P501" s="27" t="str">
        <x:v>持续更新</x:v>
      </x:c>
      <x:c r="Q501" s="27" t="str"/>
      <x:c r="R501" s="28" t="str"/>
    </x:row>
    <x:row r="502" ht="48" customHeight="1">
      <x:c r="A502" s="27" t="str">
        <x:v>801720</x:v>
      </x:c>
      <x:c r="B502" s="27" t="str">
        <x:v>建筑装饰</x:v>
      </x:c>
      <x:c r="C502" s="27" t="n">
        <x:v>21</x:v>
      </x:c>
      <x:c r="D502" s="27" t="str">
        <x:v>1010015484</x:v>
      </x:c>
      <x:c r="E502" s="28" t="str">
        <x:v>GDP:现价:建筑业:累计同比</x:v>
      </x:c>
      <x:c r="F502" s="28" t="str">
        <x:v>GDP: at Current Price: Construction: Cumulative YoY</x:v>
      </x:c>
      <x:c r="G502" s="27" t="str">
        <x:v>季</x:v>
      </x:c>
      <x:c r="H502" s="27" t="str">
        <x:v>%</x:v>
      </x:c>
      <x:c r="I502" s="27" t="str">
        <x:v>累计同比</x:v>
      </x:c>
      <x:c r="J502" s="27" t="str">
        <x:v>全国</x:v>
      </x:c>
      <x:c r="K502" s="27" t="str">
        <x:v>中国</x:v>
      </x:c>
      <x:c r="L502" s="28" t="str">
        <x:v>Datayes!</x:v>
      </x:c>
      <x:c r="M502" s="28" t="str">
        <x:v>getEcoDataChina</x:v>
      </x:c>
      <x:c r="N502" s="27" t="str">
        <x:v>1953-12-31</x:v>
      </x:c>
      <x:c r="O502" s="27" t="str">
        <x:v>2026-06-30</x:v>
      </x:c>
      <x:c r="P502" s="27" t="str">
        <x:v>持续更新</x:v>
      </x:c>
      <x:c r="Q502" s="27" t="str"/>
      <x:c r="R502" s="28" t="str"/>
    </x:row>
    <x:row r="503" ht="48" customHeight="1">
      <x:c r="A503" s="27" t="str">
        <x:v>801720</x:v>
      </x:c>
      <x:c r="B503" s="27" t="str">
        <x:v>建筑装饰</x:v>
      </x:c>
      <x:c r="C503" s="27" t="n">
        <x:v>22</x:v>
      </x:c>
      <x:c r="D503" s="27" t="str">
        <x:v>1010014353</x:v>
      </x:c>
      <x:c r="E503" s="28" t="str">
        <x:v>GDP平减指数:建筑业:当季同比</x:v>
      </x:c>
      <x:c r="F503" s="28" t="str">
        <x:v>GDP Deflators Index: Construction: Current Quarter YoY</x:v>
      </x:c>
      <x:c r="G503" s="27" t="str">
        <x:v>季</x:v>
      </x:c>
      <x:c r="H503" s="27" t="str">
        <x:v>%</x:v>
      </x:c>
      <x:c r="I503" s="27" t="str">
        <x:v>当期同比</x:v>
      </x:c>
      <x:c r="J503" s="27" t="str">
        <x:v>全国</x:v>
      </x:c>
      <x:c r="K503" s="27" t="str">
        <x:v>中国</x:v>
      </x:c>
      <x:c r="L503" s="28" t="str">
        <x:v>Datayes!</x:v>
      </x:c>
      <x:c r="M503" s="28" t="str">
        <x:v>getEcoDataChina</x:v>
      </x:c>
      <x:c r="N503" s="27" t="str">
        <x:v>1993-03-31</x:v>
      </x:c>
      <x:c r="O503" s="27" t="str">
        <x:v>2026-06-30</x:v>
      </x:c>
      <x:c r="P503" s="27" t="str">
        <x:v>持续更新</x:v>
      </x:c>
      <x:c r="Q503" s="27" t="str"/>
      <x:c r="R503" s="28" t="str"/>
    </x:row>
    <x:row r="504" ht="48" customHeight="1">
      <x:c r="A504" s="27" t="str">
        <x:v>801720</x:v>
      </x:c>
      <x:c r="B504" s="27" t="str">
        <x:v>建筑装饰</x:v>
      </x:c>
      <x:c r="C504" s="27" t="n">
        <x:v>23</x:v>
      </x:c>
      <x:c r="D504" s="27" t="str">
        <x:v>1010014341</x:v>
      </x:c>
      <x:c r="E504" s="28" t="str">
        <x:v>GDP平减指数:建筑业:累计同比</x:v>
      </x:c>
      <x:c r="F504" s="28" t="str">
        <x:v>GDP Deflators Index: Construction: Cumulative YoY</x:v>
      </x:c>
      <x:c r="G504" s="27" t="str">
        <x:v>季</x:v>
      </x:c>
      <x:c r="H504" s="27" t="str">
        <x:v>%</x:v>
      </x:c>
      <x:c r="I504" s="27" t="str">
        <x:v>累计同比</x:v>
      </x:c>
      <x:c r="J504" s="27" t="str">
        <x:v>全国</x:v>
      </x:c>
      <x:c r="K504" s="27" t="str">
        <x:v>中国</x:v>
      </x:c>
      <x:c r="L504" s="28" t="str">
        <x:v>Datayes!</x:v>
      </x:c>
      <x:c r="M504" s="28" t="str">
        <x:v>getEcoDataChina</x:v>
      </x:c>
      <x:c r="N504" s="27" t="str">
        <x:v>1993-03-31</x:v>
      </x:c>
      <x:c r="O504" s="27" t="str">
        <x:v>2026-06-30</x:v>
      </x:c>
      <x:c r="P504" s="27" t="str">
        <x:v>持续更新</x:v>
      </x:c>
      <x:c r="Q504" s="27" t="str"/>
      <x:c r="R504" s="28" t="str"/>
    </x:row>
    <x:row r="505" ht="48" customHeight="1">
      <x:c r="A505" s="27" t="str">
        <x:v>801720</x:v>
      </x:c>
      <x:c r="B505" s="27" t="str">
        <x:v>建筑装饰</x:v>
      </x:c>
      <x:c r="C505" s="27" t="n">
        <x:v>24</x:v>
      </x:c>
      <x:c r="D505" s="27" t="str">
        <x:v>1010000047</x:v>
      </x:c>
      <x:c r="E505" s="28" t="str">
        <x:v>GDP累计同比贡献率:建筑业</x:v>
      </x:c>
      <x:c r="F505" s="28" t="str">
        <x:v>Share of the Contributions to the Increase of the Accumulated GDP: Construction</x:v>
      </x:c>
      <x:c r="G505" s="27" t="str">
        <x:v>季</x:v>
      </x:c>
      <x:c r="H505" s="27" t="str">
        <x:v>%</x:v>
      </x:c>
      <x:c r="I505" s="27" t="str">
        <x:v>当期值</x:v>
      </x:c>
      <x:c r="J505" s="27" t="str">
        <x:v>全国</x:v>
      </x:c>
      <x:c r="K505" s="27" t="str">
        <x:v>中国</x:v>
      </x:c>
      <x:c r="L505" s="28" t="str">
        <x:v>Datayes!</x:v>
      </x:c>
      <x:c r="M505" s="28" t="str">
        <x:v>getEcoDataChina</x:v>
      </x:c>
      <x:c r="N505" s="27" t="str">
        <x:v>1993-03-31</x:v>
      </x:c>
      <x:c r="O505" s="27" t="str">
        <x:v>2026-06-30</x:v>
      </x:c>
      <x:c r="P505" s="27" t="str">
        <x:v>持续更新</x:v>
      </x:c>
      <x:c r="Q505" s="27" t="str"/>
      <x:c r="R505" s="28" t="str"/>
    </x:row>
    <x:row r="506" ht="48" customHeight="1">
      <x:c r="A506" s="27" t="str">
        <x:v>801720</x:v>
      </x:c>
      <x:c r="B506" s="27" t="str">
        <x:v>建筑装饰</x:v>
      </x:c>
      <x:c r="C506" s="27" t="n">
        <x:v>25</x:v>
      </x:c>
      <x:c r="D506" s="27" t="str">
        <x:v>2170700063</x:v>
      </x:c>
      <x:c r="E506" s="28" t="str">
        <x:v>其他未列明的房屋建筑物竣工价值:累计值</x:v>
      </x:c>
      <x:c r="F506" s="28" t="str">
        <x:v>Value of Completed Other Unlisted Buildings: Cumulative</x:v>
      </x:c>
      <x:c r="G506" s="27" t="str">
        <x:v>季</x:v>
      </x:c>
      <x:c r="H506" s="27" t="str">
        <x:v>亿元</x:v>
      </x:c>
      <x:c r="I506" s="27" t="str">
        <x:v>累计值</x:v>
      </x:c>
      <x:c r="J506" s="27" t="str">
        <x:v>全国</x:v>
      </x:c>
      <x:c r="K506" s="27" t="str">
        <x:v>中国</x:v>
      </x:c>
      <x:c r="L506" s="28" t="str">
        <x:v>国家统计局</x:v>
      </x:c>
      <x:c r="M506" s="28" t="str">
        <x:v>getEcoDataIndRealestate</x:v>
      </x:c>
      <x:c r="N506" s="27" t="str">
        <x:v>2004-12-31</x:v>
      </x:c>
      <x:c r="O506" s="27" t="str">
        <x:v>2026-06-30</x:v>
      </x:c>
      <x:c r="P506" s="27" t="str">
        <x:v>持续更新</x:v>
      </x:c>
      <x:c r="Q506" s="27" t="str"/>
      <x:c r="R506" s="28" t="str"/>
    </x:row>
    <x:row r="507" ht="48" customHeight="1">
      <x:c r="A507" s="27" t="str">
        <x:v>801720</x:v>
      </x:c>
      <x:c r="B507" s="27" t="str">
        <x:v>建筑装饰</x:v>
      </x:c>
      <x:c r="C507" s="27" t="n">
        <x:v>26</x:v>
      </x:c>
      <x:c r="D507" s="27" t="str">
        <x:v>2170700042</x:v>
      </x:c>
      <x:c r="E507" s="28" t="str">
        <x:v>其他未列明的房屋建筑物竣工面积:累计值</x:v>
      </x:c>
      <x:c r="F507" s="28" t="str">
        <x:v>Floor Space of Completed Other Unlisted Buildings: Cumulative</x:v>
      </x:c>
      <x:c r="G507" s="27" t="str">
        <x:v>季</x:v>
      </x:c>
      <x:c r="H507" s="27" t="str">
        <x:v>万平方米</x:v>
      </x:c>
      <x:c r="I507" s="27" t="str">
        <x:v>累计值</x:v>
      </x:c>
      <x:c r="J507" s="27" t="str">
        <x:v>全国</x:v>
      </x:c>
      <x:c r="K507" s="27" t="str">
        <x:v>中国</x:v>
      </x:c>
      <x:c r="L507" s="28" t="str">
        <x:v>国家统计局</x:v>
      </x:c>
      <x:c r="M507" s="28" t="str">
        <x:v>getEcoDataIndRealestate</x:v>
      </x:c>
      <x:c r="N507" s="27" t="str">
        <x:v>2004-03-31</x:v>
      </x:c>
      <x:c r="O507" s="27" t="str">
        <x:v>2026-06-30</x:v>
      </x:c>
      <x:c r="P507" s="27" t="str">
        <x:v>持续更新</x:v>
      </x:c>
      <x:c r="Q507" s="27" t="str"/>
      <x:c r="R507" s="28" t="str"/>
    </x:row>
    <x:row r="508" ht="48" customHeight="1">
      <x:c r="A508" s="27" t="str">
        <x:v>801720</x:v>
      </x:c>
      <x:c r="B508" s="27" t="str">
        <x:v>建筑装饰</x:v>
      </x:c>
      <x:c r="C508" s="27" t="n">
        <x:v>27</x:v>
      </x:c>
      <x:c r="D508" s="27" t="str">
        <x:v>1010000059</x:v>
      </x:c>
      <x:c r="E508" s="28" t="str">
        <x:v>对GDP累计同比的拉动:建筑业</x:v>
      </x:c>
      <x:c r="F508" s="28" t="str">
        <x:v>Contribution to the Accumulated GDP Growth: Construction</x:v>
      </x:c>
      <x:c r="G508" s="27" t="str">
        <x:v>季</x:v>
      </x:c>
      <x:c r="H508" s="27" t="str">
        <x:v>百分点</x:v>
      </x:c>
      <x:c r="I508" s="27" t="str">
        <x:v>当期值</x:v>
      </x:c>
      <x:c r="J508" s="27" t="str">
        <x:v>全国</x:v>
      </x:c>
      <x:c r="K508" s="27" t="str">
        <x:v>中国</x:v>
      </x:c>
      <x:c r="L508" s="28" t="str">
        <x:v>Datayes!</x:v>
      </x:c>
      <x:c r="M508" s="28" t="str">
        <x:v>getEcoDataChina</x:v>
      </x:c>
      <x:c r="N508" s="27" t="str">
        <x:v>1993-03-31</x:v>
      </x:c>
      <x:c r="O508" s="27" t="str">
        <x:v>2026-06-30</x:v>
      </x:c>
      <x:c r="P508" s="27" t="str">
        <x:v>持续更新</x:v>
      </x:c>
      <x:c r="Q508" s="27" t="str"/>
      <x:c r="R508" s="28" t="str"/>
    </x:row>
    <x:row r="509" ht="48" customHeight="1">
      <x:c r="A509" s="27" t="str">
        <x:v>801720</x:v>
      </x:c>
      <x:c r="B509" s="27" t="str">
        <x:v>建筑装饰</x:v>
      </x:c>
      <x:c r="C509" s="27" t="n">
        <x:v>28</x:v>
      </x:c>
      <x:c r="D509" s="27" t="str">
        <x:v>2170923948</x:v>
      </x:c>
      <x:c r="E509" s="28" t="str">
        <x:v>房屋建筑新开工面积:累计同比</x:v>
      </x:c>
      <x:c r="F509" s="28" t="str">
        <x:v>New Construction Area: Cumulative</x:v>
      </x:c>
      <x:c r="G509" s="27" t="str">
        <x:v>季</x:v>
      </x:c>
      <x:c r="H509" s="27" t="str">
        <x:v>%</x:v>
      </x:c>
      <x:c r="I509" s="27" t="str">
        <x:v>累计同比</x:v>
      </x:c>
      <x:c r="J509" s="27" t="str">
        <x:v>中国</x:v>
      </x:c>
      <x:c r="K509" s="27" t="str">
        <x:v>中国</x:v>
      </x:c>
      <x:c r="L509" s="28" t="str">
        <x:v>Datayes!</x:v>
      </x:c>
      <x:c r="M509" s="28" t="str">
        <x:v>getEcoDataIndRealestate</x:v>
      </x:c>
      <x:c r="N509" s="27" t="str">
        <x:v>2004-06-30</x:v>
      </x:c>
      <x:c r="O509" s="27" t="str">
        <x:v>2026-06-30</x:v>
      </x:c>
      <x:c r="P509" s="27" t="str">
        <x:v>持续更新</x:v>
      </x:c>
      <x:c r="Q509" s="27" t="str"/>
      <x:c r="R509" s="28" t="str"/>
    </x:row>
    <x:row r="510" ht="48" customHeight="1">
      <x:c r="A510" s="27" t="str">
        <x:v>801720</x:v>
      </x:c>
      <x:c r="B510" s="27" t="str">
        <x:v>建筑装饰</x:v>
      </x:c>
      <x:c r="C510" s="27" t="n">
        <x:v>29</x:v>
      </x:c>
      <x:c r="D510" s="27" t="str">
        <x:v>1030002380</x:v>
      </x:c>
      <x:c r="E510" s="28" t="str">
        <x:v>非制造业PMI:建筑业:土木工程</x:v>
      </x:c>
      <x:c r="F510" s="28" t="str">
        <x:v>Non-Manufacturing PMI: Construction Industry: Civil Engineering</x:v>
      </x:c>
      <x:c r="G510" s="27" t="str">
        <x:v>月</x:v>
      </x:c>
      <x:c r="H510" s="27" t="str">
        <x:v>%</x:v>
      </x:c>
      <x:c r="I510" s="27" t="str">
        <x:v>当期值</x:v>
      </x:c>
      <x:c r="J510" s="27" t="str">
        <x:v>全国</x:v>
      </x:c>
      <x:c r="K510" s="27" t="str">
        <x:v>中国</x:v>
      </x:c>
      <x:c r="L510" s="28" t="str">
        <x:v>国家统计局</x:v>
      </x:c>
      <x:c r="M510" s="28" t="str">
        <x:v>getEcoDataChina</x:v>
      </x:c>
      <x:c r="N510" s="27" t="str">
        <x:v>2016-08-31</x:v>
      </x:c>
      <x:c r="O510" s="27" t="str">
        <x:v>2026-02-28</x:v>
      </x:c>
      <x:c r="P510" s="27" t="str">
        <x:v>持续更新</x:v>
      </x:c>
      <x:c r="Q510" s="27" t="str"/>
      <x:c r="R510" s="28" t="str"/>
    </x:row>
    <x:row r="511" ht="48" customHeight="1">
      <x:c r="A511" s="27" t="str">
        <x:v>801720</x:v>
      </x:c>
      <x:c r="B511" s="27" t="str">
        <x:v>建筑装饰</x:v>
      </x:c>
      <x:c r="C511" s="27" t="n">
        <x:v>30</x:v>
      </x:c>
      <x:c r="D511" s="27" t="str">
        <x:v>1030000729</x:v>
      </x:c>
      <x:c r="E511" s="28" t="str">
        <x:v>非制造业PMI:建筑业:业务活动预期</x:v>
      </x:c>
      <x:c r="F511" s="28" t="str">
        <x:v>Non-Manufacturing PMI: Construction Industry: Business Activity Expect</x:v>
      </x:c>
      <x:c r="G511" s="27" t="str">
        <x:v>月</x:v>
      </x:c>
      <x:c r="H511" s="27" t="str">
        <x:v>%</x:v>
      </x:c>
      <x:c r="I511" s="27" t="str">
        <x:v>当期值</x:v>
      </x:c>
      <x:c r="J511" s="27" t="str">
        <x:v>全国</x:v>
      </x:c>
      <x:c r="K511" s="27" t="str">
        <x:v>中国</x:v>
      </x:c>
      <x:c r="L511" s="28" t="str">
        <x:v>国家统计局</x:v>
      </x:c>
      <x:c r="M511" s="28" t="str">
        <x:v>getEcoDataChina</x:v>
      </x:c>
      <x:c r="N511" s="27" t="str">
        <x:v>2008-02-29</x:v>
      </x:c>
      <x:c r="O511" s="27" t="str">
        <x:v>2026-07-31</x:v>
      </x:c>
      <x:c r="P511" s="27" t="str">
        <x:v>持续更新</x:v>
      </x:c>
      <x:c r="Q511" s="27" t="str"/>
      <x:c r="R511" s="28" t="str"/>
    </x:row>
    <x:row r="512" ht="48" customHeight="1">
      <x:c r="A512" s="27" t="str">
        <x:v>801730</x:v>
      </x:c>
      <x:c r="B512" s="27" t="str">
        <x:v>电力设备</x:v>
      </x:c>
      <x:c r="C512" s="27" t="n">
        <x:v>1</x:v>
      </x:c>
      <x:c r="D512" s="27" t="str">
        <x:v>2020656318</x:v>
      </x:c>
      <x:c r="E512" s="28" t="str">
        <x:v>光伏产品价格指数(SPI):综合</x:v>
      </x:c>
      <x:c r="F512" s="28" t="str">
        <x:v>PV Product Price Index(SPI):Composite</x:v>
      </x:c>
      <x:c r="G512" s="27" t="str">
        <x:v>周</x:v>
      </x:c>
      <x:c r="H512" s="27" t="str"/>
      <x:c r="I512" s="27" t="str">
        <x:v>当期值</x:v>
      </x:c>
      <x:c r="J512" s="27" t="str">
        <x:v>全国</x:v>
      </x:c>
      <x:c r="K512" s="27" t="str">
        <x:v>中国</x:v>
      </x:c>
      <x:c r="L512" s="28" t="str">
        <x:v>Datayes!</x:v>
      </x:c>
      <x:c r="M512" s="28" t="str">
        <x:v>getEcoDataIndEnergy</x:v>
      </x:c>
      <x:c r="N512" s="27" t="str">
        <x:v>2014-04-04</x:v>
      </x:c>
      <x:c r="O512" s="27" t="str">
        <x:v>2026-08-03</x:v>
      </x:c>
      <x:c r="P512" s="27" t="str">
        <x:v>持续更新</x:v>
      </x:c>
      <x:c r="Q512" s="27" t="str"/>
      <x:c r="R512" s="28" t="str"/>
    </x:row>
    <x:row r="513" ht="48" customHeight="1">
      <x:c r="A513" s="27" t="str">
        <x:v>801730</x:v>
      </x:c>
      <x:c r="B513" s="27" t="str">
        <x:v>电力设备</x:v>
      </x:c>
      <x:c r="C513" s="27" t="n">
        <x:v>2</x:v>
      </x:c>
      <x:c r="D513" s="27" t="str">
        <x:v>2080110940</x:v>
      </x:c>
      <x:c r="E513" s="28" t="str">
        <x:v>产量:发电机组(发电设备):当月值</x:v>
      </x:c>
      <x:c r="F513" s="28" t="str">
        <x:v>Output: Generators (Power Generation Equipment): Current Value (Month)</x:v>
      </x:c>
      <x:c r="G513" s="27" t="str">
        <x:v>月</x:v>
      </x:c>
      <x:c r="H513" s="27" t="str">
        <x:v>万千瓦</x:v>
      </x:c>
      <x:c r="I513" s="27" t="str">
        <x:v>当期值</x:v>
      </x:c>
      <x:c r="J513" s="27" t="str">
        <x:v>全国</x:v>
      </x:c>
      <x:c r="K513" s="27" t="str">
        <x:v>中国</x:v>
      </x:c>
      <x:c r="L513" s="28" t="str">
        <x:v>国家统计局</x:v>
      </x:c>
      <x:c r="M513" s="28" t="str">
        <x:v>getEcoDataIndMachineryequipment</x:v>
      </x:c>
      <x:c r="N513" s="27" t="str">
        <x:v>1989-02-28</x:v>
      </x:c>
      <x:c r="O513" s="27" t="str">
        <x:v>2026-06-30</x:v>
      </x:c>
      <x:c r="P513" s="27" t="str">
        <x:v>持续更新</x:v>
      </x:c>
      <x:c r="Q513" s="27" t="str"/>
      <x:c r="R513" s="28" t="str"/>
    </x:row>
    <x:row r="514" ht="48" customHeight="1">
      <x:c r="A514" s="27" t="str">
        <x:v>801730</x:v>
      </x:c>
      <x:c r="B514" s="27" t="str">
        <x:v>电力设备</x:v>
      </x:c>
      <x:c r="C514" s="27" t="n">
        <x:v>3</x:v>
      </x:c>
      <x:c r="D514" s="27" t="str">
        <x:v>1020008700</x:v>
      </x:c>
      <x:c r="E514" s="28" t="str">
        <x:v>产量:太阳能电池:当月值</x:v>
      </x:c>
      <x:c r="F514" s="28" t="str">
        <x:v>Output: Solar Battery: Current Value (Month)</x:v>
      </x:c>
      <x:c r="G514" s="27" t="str">
        <x:v>月</x:v>
      </x:c>
      <x:c r="H514" s="27" t="str">
        <x:v>万千瓦</x:v>
      </x:c>
      <x:c r="I514" s="27" t="str">
        <x:v>当期值</x:v>
      </x:c>
      <x:c r="J514" s="27" t="str">
        <x:v>全国</x:v>
      </x:c>
      <x:c r="K514" s="27" t="str">
        <x:v>中国</x:v>
      </x:c>
      <x:c r="L514" s="28" t="str">
        <x:v>国家统计局</x:v>
      </x:c>
      <x:c r="M514" s="28" t="str">
        <x:v>getEcoDataChina</x:v>
      </x:c>
      <x:c r="N514" s="27" t="str">
        <x:v>2010-01-31</x:v>
      </x:c>
      <x:c r="O514" s="27" t="str">
        <x:v>2026-06-30</x:v>
      </x:c>
      <x:c r="P514" s="27" t="str">
        <x:v>持续更新</x:v>
      </x:c>
      <x:c r="Q514" s="27" t="str"/>
      <x:c r="R514" s="28" t="str"/>
    </x:row>
    <x:row r="515" ht="48" customHeight="1">
      <x:c r="A515" s="27" t="str">
        <x:v>801730</x:v>
      </x:c>
      <x:c r="B515" s="27" t="str">
        <x:v>电力设备</x:v>
      </x:c>
      <x:c r="C515" s="27" t="n">
        <x:v>4</x:v>
      </x:c>
      <x:c r="D515" s="27" t="str">
        <x:v>2087007021</x:v>
      </x:c>
      <x:c r="E515" s="28" t="str">
        <x:v>出口金额(美元):发电机组及旋转式变流机(8502):当月值</x:v>
      </x:c>
      <x:c r="F515" s="28" t="str">
        <x:v>Export Value (USD): Generator Set and Rotary Converter(8502): Current Month Value</x:v>
      </x:c>
      <x:c r="G515" s="27" t="str">
        <x:v>月</x:v>
      </x:c>
      <x:c r="H515" s="27" t="str">
        <x:v>美元</x:v>
      </x:c>
      <x:c r="I515" s="27" t="str">
        <x:v>当期值</x:v>
      </x:c>
      <x:c r="J515" s="27" t="str">
        <x:v>中国</x:v>
      </x:c>
      <x:c r="K515" s="27" t="str">
        <x:v>中国</x:v>
      </x:c>
      <x:c r="L515" s="28" t="str">
        <x:v>海关总署</x:v>
      </x:c>
      <x:c r="M515" s="28" t="str">
        <x:v>getEcoDataIndMachineryequipment</x:v>
      </x:c>
      <x:c r="N515" s="27" t="str">
        <x:v>2015-01-31</x:v>
      </x:c>
      <x:c r="O515" s="27" t="str">
        <x:v>2026-06-30</x:v>
      </x:c>
      <x:c r="P515" s="27" t="str">
        <x:v>持续更新</x:v>
      </x:c>
      <x:c r="Q515" s="27" t="str"/>
      <x:c r="R515" s="28" t="str"/>
    </x:row>
    <x:row r="516" ht="48" customHeight="1">
      <x:c r="A516" s="27" t="str">
        <x:v>801730</x:v>
      </x:c>
      <x:c r="B516" s="27" t="str">
        <x:v>电力设备</x:v>
      </x:c>
      <x:c r="C516" s="27" t="n">
        <x:v>5</x:v>
      </x:c>
      <x:c r="D516" s="27" t="str">
        <x:v>2087007049</x:v>
      </x:c>
      <x:c r="E516" s="28" t="str">
        <x:v>出口金额(美元):变压器、静止式变流器(例如整流器)及电感器(8504):当月值</x:v>
      </x:c>
      <x:c r="F516" s="28" t="str">
        <x:v>Export Value (USD): Transformers, Static Converters (E.G. Rectifiers) and Inductors(8504): Current Month Value</x:v>
      </x:c>
      <x:c r="G516" s="27" t="str">
        <x:v>月</x:v>
      </x:c>
      <x:c r="H516" s="27" t="str">
        <x:v>美元</x:v>
      </x:c>
      <x:c r="I516" s="27" t="str">
        <x:v>当期值</x:v>
      </x:c>
      <x:c r="J516" s="27" t="str">
        <x:v>中国</x:v>
      </x:c>
      <x:c r="K516" s="27" t="str">
        <x:v>中国</x:v>
      </x:c>
      <x:c r="L516" s="28" t="str">
        <x:v>海关总署</x:v>
      </x:c>
      <x:c r="M516" s="28" t="str">
        <x:v>getEcoDataIndMachineryequipment</x:v>
      </x:c>
      <x:c r="N516" s="27" t="str">
        <x:v>2015-01-31</x:v>
      </x:c>
      <x:c r="O516" s="27" t="str">
        <x:v>2026-06-30</x:v>
      </x:c>
      <x:c r="P516" s="27" t="str">
        <x:v>持续更新</x:v>
      </x:c>
      <x:c r="Q516" s="27" t="str"/>
      <x:c r="R516" s="28" t="str"/>
    </x:row>
    <x:row r="517" ht="48" customHeight="1">
      <x:c r="A517" s="27" t="str">
        <x:v>801730</x:v>
      </x:c>
      <x:c r="B517" s="27" t="str">
        <x:v>电力设备</x:v>
      </x:c>
      <x:c r="C517" s="27" t="n">
        <x:v>6</x:v>
      </x:c>
      <x:c r="D517" s="27" t="str">
        <x:v>2080200815</x:v>
      </x:c>
      <x:c r="E517" s="28" t="str">
        <x:v>出口金额:变压器:累计同比</x:v>
      </x:c>
      <x:c r="F517" s="28" t="str">
        <x:v>Transformer: Exportss Value: YTD: YoY</x:v>
      </x:c>
      <x:c r="G517" s="27" t="str">
        <x:v>月</x:v>
      </x:c>
      <x:c r="H517" s="27" t="str">
        <x:v>%</x:v>
      </x:c>
      <x:c r="I517" s="27" t="str">
        <x:v>累计同比</x:v>
      </x:c>
      <x:c r="J517" s="27" t="str">
        <x:v>全国</x:v>
      </x:c>
      <x:c r="K517" s="27" t="str">
        <x:v>中国</x:v>
      </x:c>
      <x:c r="L517" s="28" t="str">
        <x:v>海关总署</x:v>
      </x:c>
      <x:c r="M517" s="28" t="str">
        <x:v>getEcoDataIndMachineryequipment</x:v>
      </x:c>
      <x:c r="N517" s="27" t="str">
        <x:v>1999-01-31</x:v>
      </x:c>
      <x:c r="O517" s="27" t="str">
        <x:v>2026-06-30</x:v>
      </x:c>
      <x:c r="P517" s="27" t="str">
        <x:v>持续更新</x:v>
      </x:c>
      <x:c r="Q517" s="27" t="str"/>
      <x:c r="R517" s="28" t="str"/>
    </x:row>
    <x:row r="518" ht="48" customHeight="1">
      <x:c r="A518" s="27" t="str">
        <x:v>801730</x:v>
      </x:c>
      <x:c r="B518" s="27" t="str">
        <x:v>电力设备</x:v>
      </x:c>
      <x:c r="C518" s="27" t="n">
        <x:v>7</x:v>
      </x:c>
      <x:c r="D518" s="27" t="str">
        <x:v>2020105037</x:v>
      </x:c>
      <x:c r="E518" s="28" t="str">
        <x:v>发电设备装机容量:太阳能发电:累计值</x:v>
      </x:c>
      <x:c r="F518" s="28" t="str">
        <x:v>Installed Capacity of Power Generation Equipment: Solar Power: Cumulative</x:v>
      </x:c>
      <x:c r="G518" s="27" t="str">
        <x:v>月</x:v>
      </x:c>
      <x:c r="H518" s="27" t="str">
        <x:v>万千瓦</x:v>
      </x:c>
      <x:c r="I518" s="27" t="str">
        <x:v>累计值</x:v>
      </x:c>
      <x:c r="J518" s="27" t="str">
        <x:v>全国</x:v>
      </x:c>
      <x:c r="K518" s="27" t="str">
        <x:v>中国</x:v>
      </x:c>
      <x:c r="L518" s="28" t="str">
        <x:v>中国电力企业联合会</x:v>
      </x:c>
      <x:c r="M518" s="28" t="str">
        <x:v>getEcoDataIndEnergy</x:v>
      </x:c>
      <x:c r="N518" s="27" t="str">
        <x:v>2009-12-31</x:v>
      </x:c>
      <x:c r="O518" s="27" t="str">
        <x:v>2026-06-30</x:v>
      </x:c>
      <x:c r="P518" s="27" t="str">
        <x:v>持续更新</x:v>
      </x:c>
      <x:c r="Q518" s="27" t="str"/>
      <x:c r="R518" s="28" t="str"/>
    </x:row>
    <x:row r="519" ht="48" customHeight="1">
      <x:c r="A519" s="27" t="str">
        <x:v>801730</x:v>
      </x:c>
      <x:c r="B519" s="27" t="str">
        <x:v>电力设备</x:v>
      </x:c>
      <x:c r="C519" s="27" t="n">
        <x:v>8</x:v>
      </x:c>
      <x:c r="D519" s="27" t="str">
        <x:v>2020105036</x:v>
      </x:c>
      <x:c r="E519" s="28" t="str">
        <x:v>发电设备装机容量:核电:累计值</x:v>
      </x:c>
      <x:c r="F519" s="28" t="str">
        <x:v>Installed Capacity of Power Generation Equipment: Nuclear Power: Cumulative</x:v>
      </x:c>
      <x:c r="G519" s="27" t="str">
        <x:v>月</x:v>
      </x:c>
      <x:c r="H519" s="27" t="str">
        <x:v>万千瓦</x:v>
      </x:c>
      <x:c r="I519" s="27" t="str">
        <x:v>累计值</x:v>
      </x:c>
      <x:c r="J519" s="27" t="str">
        <x:v>全国</x:v>
      </x:c>
      <x:c r="K519" s="27" t="str">
        <x:v>中国</x:v>
      </x:c>
      <x:c r="L519" s="28" t="str">
        <x:v>中国电力企业联合会</x:v>
      </x:c>
      <x:c r="M519" s="28" t="str">
        <x:v>getEcoDataIndEnergy</x:v>
      </x:c>
      <x:c r="N519" s="27" t="str">
        <x:v>2008-12-31</x:v>
      </x:c>
      <x:c r="O519" s="27" t="str">
        <x:v>2026-06-30</x:v>
      </x:c>
      <x:c r="P519" s="27" t="str">
        <x:v>持续更新</x:v>
      </x:c>
      <x:c r="Q519" s="27" t="str"/>
      <x:c r="R519" s="28" t="str"/>
    </x:row>
    <x:row r="520" ht="48" customHeight="1">
      <x:c r="A520" s="27" t="str">
        <x:v>801730</x:v>
      </x:c>
      <x:c r="B520" s="27" t="str">
        <x:v>电力设备</x:v>
      </x:c>
      <x:c r="C520" s="27" t="n">
        <x:v>9</x:v>
      </x:c>
      <x:c r="D520" s="27" t="str">
        <x:v>2020657644</x:v>
      </x:c>
      <x:c r="E520" s="28" t="str">
        <x:v>发电设备装机容量:水电:累计值</x:v>
      </x:c>
      <x:c r="F520" s="28" t="str">
        <x:v>Installed Capacity of Power Generation Equipment: Hydro Power: Cumulative</x:v>
      </x:c>
      <x:c r="G520" s="27" t="str">
        <x:v>月</x:v>
      </x:c>
      <x:c r="H520" s="27" t="str">
        <x:v>万千瓦</x:v>
      </x:c>
      <x:c r="I520" s="27" t="str">
        <x:v>累计值</x:v>
      </x:c>
      <x:c r="J520" s="27" t="str">
        <x:v>全国</x:v>
      </x:c>
      <x:c r="K520" s="27" t="str">
        <x:v>中国</x:v>
      </x:c>
      <x:c r="L520" s="28" t="str">
        <x:v>中国电力企业联合会</x:v>
      </x:c>
      <x:c r="M520" s="28" t="str">
        <x:v>getEcoDataIndEnergy</x:v>
      </x:c>
      <x:c r="N520" s="27" t="str">
        <x:v>2008-12-31</x:v>
      </x:c>
      <x:c r="O520" s="27" t="str">
        <x:v>2026-06-30</x:v>
      </x:c>
      <x:c r="P520" s="27" t="str">
        <x:v>持续更新</x:v>
      </x:c>
      <x:c r="Q520" s="27" t="str"/>
      <x:c r="R520" s="28" t="str"/>
    </x:row>
    <x:row r="521" ht="48" customHeight="1">
      <x:c r="A521" s="27" t="str">
        <x:v>801730</x:v>
      </x:c>
      <x:c r="B521" s="27" t="str">
        <x:v>电力设备</x:v>
      </x:c>
      <x:c r="C521" s="27" t="n">
        <x:v>10</x:v>
      </x:c>
      <x:c r="D521" s="27" t="str">
        <x:v>2020105035</x:v>
      </x:c>
      <x:c r="E521" s="28" t="str">
        <x:v>发电设备装机容量:火电:累计值</x:v>
      </x:c>
      <x:c r="F521" s="28" t="str">
        <x:v>Installed Capacity of Power Generation Equipment: Thermal Power: Cumulative</x:v>
      </x:c>
      <x:c r="G521" s="27" t="str">
        <x:v>月</x:v>
      </x:c>
      <x:c r="H521" s="27" t="str">
        <x:v>万千瓦</x:v>
      </x:c>
      <x:c r="I521" s="27" t="str">
        <x:v>累计值</x:v>
      </x:c>
      <x:c r="J521" s="27" t="str">
        <x:v>全国</x:v>
      </x:c>
      <x:c r="K521" s="27" t="str">
        <x:v>中国</x:v>
      </x:c>
      <x:c r="L521" s="28" t="str">
        <x:v>中国电力企业联合会</x:v>
      </x:c>
      <x:c r="M521" s="28" t="str">
        <x:v>getEcoDataIndEnergy</x:v>
      </x:c>
      <x:c r="N521" s="27" t="str">
        <x:v>2008-12-31</x:v>
      </x:c>
      <x:c r="O521" s="27" t="str">
        <x:v>2026-06-30</x:v>
      </x:c>
      <x:c r="P521" s="27" t="str">
        <x:v>持续更新</x:v>
      </x:c>
      <x:c r="Q521" s="27" t="str"/>
      <x:c r="R521" s="28" t="str"/>
    </x:row>
    <x:row r="522" ht="48" customHeight="1">
      <x:c r="A522" s="27" t="str">
        <x:v>801730</x:v>
      </x:c>
      <x:c r="B522" s="27" t="str">
        <x:v>电力设备</x:v>
      </x:c>
      <x:c r="C522" s="27" t="n">
        <x:v>11</x:v>
      </x:c>
      <x:c r="D522" s="27" t="str">
        <x:v>2020657645</x:v>
      </x:c>
      <x:c r="E522" s="28" t="str">
        <x:v>发电设备装机容量:风电:累计值</x:v>
      </x:c>
      <x:c r="F522" s="28" t="str">
        <x:v>Installed Capacity of Power Generation Equipment: Wind Power: Cumulative</x:v>
      </x:c>
      <x:c r="G522" s="27" t="str">
        <x:v>月</x:v>
      </x:c>
      <x:c r="H522" s="27" t="str">
        <x:v>万千瓦</x:v>
      </x:c>
      <x:c r="I522" s="27" t="str">
        <x:v>累计值</x:v>
      </x:c>
      <x:c r="J522" s="27" t="str">
        <x:v>全国</x:v>
      </x:c>
      <x:c r="K522" s="27" t="str">
        <x:v>中国</x:v>
      </x:c>
      <x:c r="L522" s="28" t="str">
        <x:v>中国电力企业联合会</x:v>
      </x:c>
      <x:c r="M522" s="28" t="str">
        <x:v>getEcoDataIndEnergy</x:v>
      </x:c>
      <x:c r="N522" s="27" t="str">
        <x:v>2008-12-31</x:v>
      </x:c>
      <x:c r="O522" s="27" t="str">
        <x:v>2026-06-30</x:v>
      </x:c>
      <x:c r="P522" s="27" t="str">
        <x:v>持续更新</x:v>
      </x:c>
      <x:c r="Q522" s="27" t="str"/>
      <x:c r="R522" s="28" t="str"/>
    </x:row>
    <x:row r="523" ht="48" customHeight="1">
      <x:c r="A523" s="27" t="str">
        <x:v>801730</x:v>
      </x:c>
      <x:c r="B523" s="27" t="str">
        <x:v>电力设备</x:v>
      </x:c>
      <x:c r="C523" s="27" t="n">
        <x:v>12</x:v>
      </x:c>
      <x:c r="D523" s="27" t="str">
        <x:v>2020104973</x:v>
      </x:c>
      <x:c r="E523" s="28" t="str">
        <x:v>电源工程投资完成:累计值</x:v>
      </x:c>
      <x:c r="F523" s="28" t="str">
        <x:v>Completed Investments in Power Generation Projects: Cumulative Value</x:v>
      </x:c>
      <x:c r="G523" s="27" t="str">
        <x:v>月</x:v>
      </x:c>
      <x:c r="H523" s="27" t="str">
        <x:v>亿元</x:v>
      </x:c>
      <x:c r="I523" s="27" t="str">
        <x:v>累计值</x:v>
      </x:c>
      <x:c r="J523" s="27" t="str">
        <x:v>全国</x:v>
      </x:c>
      <x:c r="K523" s="27" t="str">
        <x:v>中国</x:v>
      </x:c>
      <x:c r="L523" s="28" t="str">
        <x:v>中国电力企业联合会</x:v>
      </x:c>
      <x:c r="M523" s="28" t="str">
        <x:v>getEcoDataIndEnergy</x:v>
      </x:c>
      <x:c r="N523" s="27" t="str">
        <x:v>2009-07-31</x:v>
      </x:c>
      <x:c r="O523" s="27" t="str">
        <x:v>2026-06-30</x:v>
      </x:c>
      <x:c r="P523" s="27" t="str">
        <x:v>持续更新</x:v>
      </x:c>
      <x:c r="Q523" s="27" t="str"/>
      <x:c r="R523" s="28" t="str"/>
    </x:row>
    <x:row r="524" ht="48" customHeight="1">
      <x:c r="A524" s="27" t="str">
        <x:v>801730</x:v>
      </x:c>
      <x:c r="B524" s="27" t="str">
        <x:v>电力设备</x:v>
      </x:c>
      <x:c r="C524" s="27" t="n">
        <x:v>13</x:v>
      </x:c>
      <x:c r="D524" s="27" t="str">
        <x:v>2087007023</x:v>
      </x:c>
      <x:c r="E524" s="28" t="str">
        <x:v>进出口金额(美元):发电机组及旋转式变流机(8502):当月值</x:v>
      </x:c>
      <x:c r="F524" s="28" t="str">
        <x:v>Import and Export Value (USD): Generator Set and Rotary Converter(8502): Current Month Value</x:v>
      </x:c>
      <x:c r="G524" s="27" t="str">
        <x:v>月</x:v>
      </x:c>
      <x:c r="H524" s="27" t="str">
        <x:v>美元</x:v>
      </x:c>
      <x:c r="I524" s="27" t="str">
        <x:v>当期值</x:v>
      </x:c>
      <x:c r="J524" s="27" t="str">
        <x:v>中国</x:v>
      </x:c>
      <x:c r="K524" s="27" t="str">
        <x:v>中国</x:v>
      </x:c>
      <x:c r="L524" s="28" t="str">
        <x:v>海关总署</x:v>
      </x:c>
      <x:c r="M524" s="28" t="str">
        <x:v>getEcoDataIndMachineryequipment</x:v>
      </x:c>
      <x:c r="N524" s="27" t="str">
        <x:v>2015-01-31</x:v>
      </x:c>
      <x:c r="O524" s="27" t="str">
        <x:v>2026-06-30</x:v>
      </x:c>
      <x:c r="P524" s="27" t="str">
        <x:v>持续更新</x:v>
      </x:c>
      <x:c r="Q524" s="27" t="str"/>
      <x:c r="R524" s="28" t="str"/>
    </x:row>
    <x:row r="525" ht="48" customHeight="1">
      <x:c r="A525" s="27" t="str">
        <x:v>801730</x:v>
      </x:c>
      <x:c r="B525" s="27" t="str">
        <x:v>电力设备</x:v>
      </x:c>
      <x:c r="C525" s="27" t="n">
        <x:v>14</x:v>
      </x:c>
      <x:c r="D525" s="27" t="str">
        <x:v>2087007051</x:v>
      </x:c>
      <x:c r="E525" s="28" t="str">
        <x:v>进出口金额(美元):变压器、静止式变流器(例如整流器)及电感器(8504):当月值</x:v>
      </x:c>
      <x:c r="F525" s="28" t="str">
        <x:v>Import and Export Value (USD): Transformers, Static Converters (E.G. Rectifiers) and Inductors(8504): Current Month Value</x:v>
      </x:c>
      <x:c r="G525" s="27" t="str">
        <x:v>月</x:v>
      </x:c>
      <x:c r="H525" s="27" t="str">
        <x:v>美元</x:v>
      </x:c>
      <x:c r="I525" s="27" t="str">
        <x:v>当期值</x:v>
      </x:c>
      <x:c r="J525" s="27" t="str">
        <x:v>中国</x:v>
      </x:c>
      <x:c r="K525" s="27" t="str">
        <x:v>中国</x:v>
      </x:c>
      <x:c r="L525" s="28" t="str">
        <x:v>海关总署</x:v>
      </x:c>
      <x:c r="M525" s="28" t="str">
        <x:v>getEcoDataIndMachineryequipment</x:v>
      </x:c>
      <x:c r="N525" s="27" t="str">
        <x:v>2015-01-31</x:v>
      </x:c>
      <x:c r="O525" s="27" t="str">
        <x:v>2026-06-30</x:v>
      </x:c>
      <x:c r="P525" s="27" t="str">
        <x:v>持续更新</x:v>
      </x:c>
      <x:c r="Q525" s="27" t="str"/>
      <x:c r="R525" s="28" t="str"/>
    </x:row>
    <x:row r="526" ht="48" customHeight="1">
      <x:c r="A526" s="27" t="str">
        <x:v>801730</x:v>
      </x:c>
      <x:c r="B526" s="27" t="str">
        <x:v>电力设备</x:v>
      </x:c>
      <x:c r="C526" s="27" t="n">
        <x:v>15</x:v>
      </x:c>
      <x:c r="D526" s="27" t="str">
        <x:v>2020101562</x:v>
      </x:c>
      <x:c r="E526" s="28" t="str">
        <x:v>(全国)发电设备平均利用小时:累计值</x:v>
      </x:c>
      <x:c r="F526" s="28" t="str">
        <x:v>Power Generation Equipment Average Utilization Hours: Cumulative</x:v>
      </x:c>
      <x:c r="G526" s="27" t="str">
        <x:v>月</x:v>
      </x:c>
      <x:c r="H526" s="27" t="str">
        <x:v>小时</x:v>
      </x:c>
      <x:c r="I526" s="27" t="str">
        <x:v>累计值</x:v>
      </x:c>
      <x:c r="J526" s="27" t="str">
        <x:v>全国</x:v>
      </x:c>
      <x:c r="K526" s="27" t="str">
        <x:v>中国</x:v>
      </x:c>
      <x:c r="L526" s="28" t="str">
        <x:v>中国电力企业联合会</x:v>
      </x:c>
      <x:c r="M526" s="28" t="str">
        <x:v>getEcoDataIndEnergy</x:v>
      </x:c>
      <x:c r="N526" s="27" t="str">
        <x:v>2009-07-31</x:v>
      </x:c>
      <x:c r="O526" s="27" t="str">
        <x:v>2026-06-30</x:v>
      </x:c>
      <x:c r="P526" s="27" t="str">
        <x:v>持续更新</x:v>
      </x:c>
      <x:c r="Q526" s="27" t="str"/>
      <x:c r="R526" s="28" t="str"/>
    </x:row>
    <x:row r="527" ht="48" customHeight="1">
      <x:c r="A527" s="27" t="str">
        <x:v>801730</x:v>
      </x:c>
      <x:c r="B527" s="27" t="str">
        <x:v>电力设备</x:v>
      </x:c>
      <x:c r="C527" s="27" t="n">
        <x:v>16</x:v>
      </x:c>
      <x:c r="D527" s="27" t="str">
        <x:v>2020101578</x:v>
      </x:c>
      <x:c r="E527" s="28" t="str">
        <x:v>(全国)发电设备平均利用小时:累计同比增减</x:v>
      </x:c>
      <x:c r="F527" s="28" t="str">
        <x:v>(National) Power Generation Equipment Average Utilization Hours: Cumulative Per Cent Change</x:v>
      </x:c>
      <x:c r="G527" s="27" t="str">
        <x:v>月</x:v>
      </x:c>
      <x:c r="H527" s="27" t="str">
        <x:v>小时</x:v>
      </x:c>
      <x:c r="I527" s="27" t="str">
        <x:v>累计同比增减</x:v>
      </x:c>
      <x:c r="J527" s="27" t="str">
        <x:v>全国</x:v>
      </x:c>
      <x:c r="K527" s="27" t="str">
        <x:v>中国</x:v>
      </x:c>
      <x:c r="L527" s="28" t="str">
        <x:v>中国电力企业联合会</x:v>
      </x:c>
      <x:c r="M527" s="28" t="str">
        <x:v>getEcoDataIndEnergy</x:v>
      </x:c>
      <x:c r="N527" s="27" t="str">
        <x:v>2009-07-31</x:v>
      </x:c>
      <x:c r="O527" s="27" t="str">
        <x:v>2026-06-30</x:v>
      </x:c>
      <x:c r="P527" s="27" t="str">
        <x:v>持续更新</x:v>
      </x:c>
      <x:c r="Q527" s="27" t="str"/>
      <x:c r="R527" s="28" t="str"/>
    </x:row>
    <x:row r="528" ht="48" customHeight="1">
      <x:c r="A528" s="27" t="str">
        <x:v>801730</x:v>
      </x:c>
      <x:c r="B528" s="27" t="str">
        <x:v>电力设备</x:v>
      </x:c>
      <x:c r="C528" s="27" t="n">
        <x:v>17</x:v>
      </x:c>
      <x:c r="D528" s="27" t="str">
        <x:v>2087007024</x:v>
      </x:c>
      <x:c r="E528" s="28" t="str">
        <x:v>贸易差额(美元):发电机组及旋转式变流机(8502):当月值</x:v>
      </x:c>
      <x:c r="F528" s="28" t="str">
        <x:v>Trade Balance (USD): Generator Set and Rotary Converter(8502): Current Month Value</x:v>
      </x:c>
      <x:c r="G528" s="27" t="str">
        <x:v>月</x:v>
      </x:c>
      <x:c r="H528" s="27" t="str">
        <x:v>美元</x:v>
      </x:c>
      <x:c r="I528" s="27" t="str">
        <x:v>当期值</x:v>
      </x:c>
      <x:c r="J528" s="27" t="str">
        <x:v>中国</x:v>
      </x:c>
      <x:c r="K528" s="27" t="str">
        <x:v>中国</x:v>
      </x:c>
      <x:c r="L528" s="28" t="str">
        <x:v>海关总署</x:v>
      </x:c>
      <x:c r="M528" s="28" t="str">
        <x:v>getEcoDataIndMachineryequipment</x:v>
      </x:c>
      <x:c r="N528" s="27" t="str">
        <x:v>2015-01-31</x:v>
      </x:c>
      <x:c r="O528" s="27" t="str">
        <x:v>2026-06-30</x:v>
      </x:c>
      <x:c r="P528" s="27" t="str">
        <x:v>持续更新</x:v>
      </x:c>
      <x:c r="Q528" s="27" t="str"/>
      <x:c r="R528" s="28" t="str"/>
    </x:row>
    <x:row r="529" ht="48" customHeight="1">
      <x:c r="A529" s="27" t="str">
        <x:v>801730</x:v>
      </x:c>
      <x:c r="B529" s="27" t="str">
        <x:v>电力设备</x:v>
      </x:c>
      <x:c r="C529" s="27" t="n">
        <x:v>18</x:v>
      </x:c>
      <x:c r="D529" s="27" t="str">
        <x:v>2087007052</x:v>
      </x:c>
      <x:c r="E529" s="28" t="str">
        <x:v>贸易差额(美元):变压器、静止式变流器(例如整流器)及电感器(8504):当月值</x:v>
      </x:c>
      <x:c r="F529" s="28" t="str">
        <x:v>Trade Balance (USD): Transformers, Static Converters (E.G. Rectifiers) and Inductors(8504): Current Month Value</x:v>
      </x:c>
      <x:c r="G529" s="27" t="str">
        <x:v>月</x:v>
      </x:c>
      <x:c r="H529" s="27" t="str">
        <x:v>美元</x:v>
      </x:c>
      <x:c r="I529" s="27" t="str">
        <x:v>当期值</x:v>
      </x:c>
      <x:c r="J529" s="27" t="str">
        <x:v>中国</x:v>
      </x:c>
      <x:c r="K529" s="27" t="str">
        <x:v>中国</x:v>
      </x:c>
      <x:c r="L529" s="28" t="str">
        <x:v>海关总署</x:v>
      </x:c>
      <x:c r="M529" s="28" t="str">
        <x:v>getEcoDataIndMachineryequipment</x:v>
      </x:c>
      <x:c r="N529" s="27" t="str">
        <x:v>2015-01-31</x:v>
      </x:c>
      <x:c r="O529" s="27" t="str">
        <x:v>2026-06-30</x:v>
      </x:c>
      <x:c r="P529" s="27" t="str">
        <x:v>持续更新</x:v>
      </x:c>
      <x:c r="Q529" s="27" t="str"/>
      <x:c r="R529" s="28" t="str"/>
    </x:row>
    <x:row r="530" ht="48" customHeight="1">
      <x:c r="A530" s="27" t="str">
        <x:v>801730</x:v>
      </x:c>
      <x:c r="B530" s="27" t="str">
        <x:v>电力设备</x:v>
      </x:c>
      <x:c r="C530" s="27" t="n">
        <x:v>19</x:v>
      </x:c>
      <x:c r="D530" s="27" t="str">
        <x:v>2087007022</x:v>
      </x:c>
      <x:c r="E530" s="28" t="str">
        <x:v>进口金额(美元):发电机组及旋转式变流机(8502):当月值</x:v>
      </x:c>
      <x:c r="F530" s="28" t="str">
        <x:v>Import Value (USD): Generator Set and Rotary Converter(8502): Current Month Value</x:v>
      </x:c>
      <x:c r="G530" s="27" t="str">
        <x:v>月</x:v>
      </x:c>
      <x:c r="H530" s="27" t="str">
        <x:v>美元</x:v>
      </x:c>
      <x:c r="I530" s="27" t="str">
        <x:v>当期值</x:v>
      </x:c>
      <x:c r="J530" s="27" t="str">
        <x:v>中国</x:v>
      </x:c>
      <x:c r="K530" s="27" t="str">
        <x:v>中国</x:v>
      </x:c>
      <x:c r="L530" s="28" t="str">
        <x:v>海关总署</x:v>
      </x:c>
      <x:c r="M530" s="28" t="str">
        <x:v>getEcoDataIndMachineryequipment</x:v>
      </x:c>
      <x:c r="N530" s="27" t="str">
        <x:v>2015-01-31</x:v>
      </x:c>
      <x:c r="O530" s="27" t="str">
        <x:v>2026-06-30</x:v>
      </x:c>
      <x:c r="P530" s="27" t="str">
        <x:v>持续更新</x:v>
      </x:c>
      <x:c r="Q530" s="27" t="str"/>
      <x:c r="R530" s="28" t="str"/>
    </x:row>
    <x:row r="531" ht="48" customHeight="1">
      <x:c r="A531" s="27" t="str">
        <x:v>801730</x:v>
      </x:c>
      <x:c r="B531" s="27" t="str">
        <x:v>电力设备</x:v>
      </x:c>
      <x:c r="C531" s="27" t="n">
        <x:v>20</x:v>
      </x:c>
      <x:c r="D531" s="27" t="str">
        <x:v>2087007050</x:v>
      </x:c>
      <x:c r="E531" s="28" t="str">
        <x:v>进口金额(美元):变压器、静止式变流器(例如整流器)及电感器(8504):当月值</x:v>
      </x:c>
      <x:c r="F531" s="28" t="str">
        <x:v>Import Value (USD): Transformers, Static Converters (E.G. Rectifiers) and Inductors(8504): Current Month Value</x:v>
      </x:c>
      <x:c r="G531" s="27" t="str">
        <x:v>月</x:v>
      </x:c>
      <x:c r="H531" s="27" t="str">
        <x:v>美元</x:v>
      </x:c>
      <x:c r="I531" s="27" t="str">
        <x:v>当期值</x:v>
      </x:c>
      <x:c r="J531" s="27" t="str">
        <x:v>中国</x:v>
      </x:c>
      <x:c r="K531" s="27" t="str">
        <x:v>中国</x:v>
      </x:c>
      <x:c r="L531" s="28" t="str">
        <x:v>海关总署</x:v>
      </x:c>
      <x:c r="M531" s="28" t="str">
        <x:v>getEcoDataIndMachineryequipment</x:v>
      </x:c>
      <x:c r="N531" s="27" t="str">
        <x:v>2015-01-31</x:v>
      </x:c>
      <x:c r="O531" s="27" t="str">
        <x:v>2026-06-30</x:v>
      </x:c>
      <x:c r="P531" s="27" t="str">
        <x:v>持续更新</x:v>
      </x:c>
      <x:c r="Q531" s="27" t="str"/>
      <x:c r="R531" s="28" t="str"/>
    </x:row>
    <x:row r="532" ht="48" customHeight="1">
      <x:c r="A532" s="27" t="str">
        <x:v>801730</x:v>
      </x:c>
      <x:c r="B532" s="27" t="str">
        <x:v>电力设备</x:v>
      </x:c>
      <x:c r="C532" s="27" t="n">
        <x:v>21</x:v>
      </x:c>
      <x:c r="D532" s="27" t="str">
        <x:v>2080200369</x:v>
      </x:c>
      <x:c r="E532" s="28" t="str">
        <x:v>出口数量:变压器:当月同比</x:v>
      </x:c>
      <x:c r="F532" s="28" t="str">
        <x:v>Transformer: Exports Quantity: YoY</x:v>
      </x:c>
      <x:c r="G532" s="27" t="str">
        <x:v>月</x:v>
      </x:c>
      <x:c r="H532" s="27" t="str">
        <x:v>%</x:v>
      </x:c>
      <x:c r="I532" s="27" t="str">
        <x:v>当期同比</x:v>
      </x:c>
      <x:c r="J532" s="27" t="str"/>
      <x:c r="K532" s="27" t="str">
        <x:v>中国</x:v>
      </x:c>
      <x:c r="L532" s="28" t="str">
        <x:v>海关总署</x:v>
      </x:c>
      <x:c r="M532" s="28" t="str">
        <x:v>getEcoDataIndMachineryequipment</x:v>
      </x:c>
      <x:c r="N532" s="27" t="str">
        <x:v>2000-01-31</x:v>
      </x:c>
      <x:c r="O532" s="27" t="str">
        <x:v>2026-06-30</x:v>
      </x:c>
      <x:c r="P532" s="27" t="str">
        <x:v>持续更新</x:v>
      </x:c>
      <x:c r="Q532" s="27" t="str"/>
      <x:c r="R532" s="28" t="str"/>
    </x:row>
    <x:row r="533" ht="48" customHeight="1">
      <x:c r="A533" s="27" t="str">
        <x:v>801730</x:v>
      </x:c>
      <x:c r="B533" s="27" t="str">
        <x:v>电力设备</x:v>
      </x:c>
      <x:c r="C533" s="27" t="n">
        <x:v>22</x:v>
      </x:c>
      <x:c r="D533" s="27" t="str">
        <x:v>2080200377</x:v>
      </x:c>
      <x:c r="E533" s="28" t="str">
        <x:v>出口数量:太阳能电池:当月同比</x:v>
      </x:c>
      <x:c r="F533" s="28" t="str">
        <x:v>Solar Battery: Exports Quantity: YoY</x:v>
      </x:c>
      <x:c r="G533" s="27" t="str">
        <x:v>月</x:v>
      </x:c>
      <x:c r="H533" s="27" t="str">
        <x:v>%</x:v>
      </x:c>
      <x:c r="I533" s="27" t="str">
        <x:v>当期同比</x:v>
      </x:c>
      <x:c r="J533" s="27" t="str"/>
      <x:c r="K533" s="27" t="str">
        <x:v>中国</x:v>
      </x:c>
      <x:c r="L533" s="28" t="str">
        <x:v>海关总署</x:v>
      </x:c>
      <x:c r="M533" s="28" t="str">
        <x:v>getEcoDataIndMachineryequipment</x:v>
      </x:c>
      <x:c r="N533" s="27" t="str">
        <x:v>2013-01-31</x:v>
      </x:c>
      <x:c r="O533" s="27" t="str">
        <x:v>2026-06-30</x:v>
      </x:c>
      <x:c r="P533" s="27" t="str">
        <x:v>持续更新</x:v>
      </x:c>
      <x:c r="Q533" s="27" t="str"/>
      <x:c r="R533" s="28" t="str"/>
    </x:row>
    <x:row r="534" ht="48" customHeight="1">
      <x:c r="A534" s="27" t="str">
        <x:v>801730</x:v>
      </x:c>
      <x:c r="B534" s="27" t="str">
        <x:v>电力设备</x:v>
      </x:c>
      <x:c r="C534" s="27" t="n">
        <x:v>23</x:v>
      </x:c>
      <x:c r="D534" s="27" t="str">
        <x:v>2080200822</x:v>
      </x:c>
      <x:c r="E534" s="28" t="str">
        <x:v>出口金额:太阳能电池:当月同比</x:v>
      </x:c>
      <x:c r="F534" s="28" t="str">
        <x:v>Solar Battery: Exportss Value: YoY</x:v>
      </x:c>
      <x:c r="G534" s="27" t="str">
        <x:v>月</x:v>
      </x:c>
      <x:c r="H534" s="27" t="str">
        <x:v>%</x:v>
      </x:c>
      <x:c r="I534" s="27" t="str">
        <x:v>当期同比</x:v>
      </x:c>
      <x:c r="J534" s="27" t="str"/>
      <x:c r="K534" s="27" t="str">
        <x:v>中国</x:v>
      </x:c>
      <x:c r="L534" s="28" t="str">
        <x:v>海关总署</x:v>
      </x:c>
      <x:c r="M534" s="28" t="str">
        <x:v>getEcoDataIndMachineryequipment</x:v>
      </x:c>
      <x:c r="N534" s="27" t="str">
        <x:v>2013-01-31</x:v>
      </x:c>
      <x:c r="O534" s="27" t="str">
        <x:v>2026-06-30</x:v>
      </x:c>
      <x:c r="P534" s="27" t="str">
        <x:v>持续更新</x:v>
      </x:c>
      <x:c r="Q534" s="27" t="str"/>
      <x:c r="R534" s="28" t="str"/>
    </x:row>
    <x:row r="535" ht="48" customHeight="1">
      <x:c r="A535" s="27" t="str">
        <x:v>801730</x:v>
      </x:c>
      <x:c r="B535" s="27" t="str">
        <x:v>电力设备</x:v>
      </x:c>
      <x:c r="C535" s="27" t="n">
        <x:v>24</x:v>
      </x:c>
      <x:c r="D535" s="27" t="str">
        <x:v>2080100199</x:v>
      </x:c>
      <x:c r="E535" s="28" t="str">
        <x:v>销量:内燃机:发电机组:累计值</x:v>
      </x:c>
      <x:c r="F535" s="28" t="str">
        <x:v>Consumption: Internal Combustion Engine: Generator: YTD</x:v>
      </x:c>
      <x:c r="G535" s="27" t="str">
        <x:v>月</x:v>
      </x:c>
      <x:c r="H535" s="27" t="str">
        <x:v>万台</x:v>
      </x:c>
      <x:c r="I535" s="27" t="str">
        <x:v>累计值</x:v>
      </x:c>
      <x:c r="J535" s="27" t="str"/>
      <x:c r="K535" s="27" t="str">
        <x:v>中国</x:v>
      </x:c>
      <x:c r="L535" s="28" t="str">
        <x:v>中国内燃机工业协会</x:v>
      </x:c>
      <x:c r="M535" s="28" t="str">
        <x:v>getEcoDataIndMachineryequipment</x:v>
      </x:c>
      <x:c r="N535" s="27" t="str">
        <x:v>2014-01-31</x:v>
      </x:c>
      <x:c r="O535" s="27" t="str">
        <x:v>2026-06-30</x:v>
      </x:c>
      <x:c r="P535" s="27" t="str">
        <x:v>持续更新</x:v>
      </x:c>
      <x:c r="Q535" s="27" t="str"/>
      <x:c r="R535" s="28" t="str"/>
    </x:row>
    <x:row r="536" ht="48" customHeight="1">
      <x:c r="A536" s="27" t="str">
        <x:v>801730</x:v>
      </x:c>
      <x:c r="B536" s="27" t="str">
        <x:v>电力设备</x:v>
      </x:c>
      <x:c r="C536" s="27" t="n">
        <x:v>25</x:v>
      </x:c>
      <x:c r="D536" s="27" t="str">
        <x:v>2020101565</x:v>
      </x:c>
      <x:c r="E536" s="28" t="str">
        <x:v>(全国)发电设备平均利用小时:核电:累计值</x:v>
      </x:c>
      <x:c r="F536" s="28" t="str">
        <x:v>(National) Power Generation Equipment Average Utilization Hours: Nuclear Power: YTD</x:v>
      </x:c>
      <x:c r="G536" s="27" t="str">
        <x:v>季</x:v>
      </x:c>
      <x:c r="H536" s="27" t="str">
        <x:v>小时</x:v>
      </x:c>
      <x:c r="I536" s="27" t="str">
        <x:v>累计值</x:v>
      </x:c>
      <x:c r="J536" s="27" t="str">
        <x:v>全国</x:v>
      </x:c>
      <x:c r="K536" s="27" t="str">
        <x:v>中国</x:v>
      </x:c>
      <x:c r="L536" s="28" t="str">
        <x:v>中国电力企业联合会</x:v>
      </x:c>
      <x:c r="M536" s="28" t="str">
        <x:v>getEcoDataIndEnergy</x:v>
      </x:c>
      <x:c r="N536" s="27" t="str">
        <x:v>2009-12-31</x:v>
      </x:c>
      <x:c r="O536" s="27" t="str">
        <x:v>2026-06-30</x:v>
      </x:c>
      <x:c r="P536" s="27" t="str">
        <x:v>持续更新</x:v>
      </x:c>
      <x:c r="Q536" s="27" t="str"/>
      <x:c r="R536" s="28" t="str"/>
    </x:row>
    <x:row r="537" ht="48" customHeight="1">
      <x:c r="A537" s="27" t="str">
        <x:v>801730</x:v>
      </x:c>
      <x:c r="B537" s="27" t="str">
        <x:v>电力设备</x:v>
      </x:c>
      <x:c r="C537" s="27" t="n">
        <x:v>26</x:v>
      </x:c>
      <x:c r="D537" s="27" t="str">
        <x:v>2020101581</x:v>
      </x:c>
      <x:c r="E537" s="28" t="str">
        <x:v>(全国)发电设备平均利用小时:核电:累计同比增减</x:v>
      </x:c>
      <x:c r="F537" s="28" t="str">
        <x:v>(National) Power Generation Equipment Average Utilization Hours: Nuclear Power: Cumulative Per Cent Change</x:v>
      </x:c>
      <x:c r="G537" s="27" t="str">
        <x:v>季</x:v>
      </x:c>
      <x:c r="H537" s="27" t="str">
        <x:v>小时</x:v>
      </x:c>
      <x:c r="I537" s="27" t="str">
        <x:v>累计同比增减</x:v>
      </x:c>
      <x:c r="J537" s="27" t="str">
        <x:v>全国</x:v>
      </x:c>
      <x:c r="K537" s="27" t="str">
        <x:v>中国</x:v>
      </x:c>
      <x:c r="L537" s="28" t="str">
        <x:v>中国电力企业联合会</x:v>
      </x:c>
      <x:c r="M537" s="28" t="str">
        <x:v>getEcoDataIndEnergy</x:v>
      </x:c>
      <x:c r="N537" s="27" t="str">
        <x:v>2009-12-31</x:v>
      </x:c>
      <x:c r="O537" s="27" t="str">
        <x:v>2026-06-30</x:v>
      </x:c>
      <x:c r="P537" s="27" t="str">
        <x:v>持续更新</x:v>
      </x:c>
      <x:c r="Q537" s="27" t="str"/>
      <x:c r="R537" s="28" t="str"/>
    </x:row>
    <x:row r="538" ht="48" customHeight="1">
      <x:c r="A538" s="27" t="str">
        <x:v>801730</x:v>
      </x:c>
      <x:c r="B538" s="27" t="str">
        <x:v>电力设备</x:v>
      </x:c>
      <x:c r="C538" s="27" t="n">
        <x:v>27</x:v>
      </x:c>
      <x:c r="D538" s="27" t="str">
        <x:v>2020101563</x:v>
      </x:c>
      <x:c r="E538" s="28" t="str">
        <x:v>(全国)发电设备平均利用小时:水电:累计值</x:v>
      </x:c>
      <x:c r="F538" s="28" t="str">
        <x:v>Power Generation Equipment Average Utilization Hours: HydroPower: Cumulative</x:v>
      </x:c>
      <x:c r="G538" s="27" t="str">
        <x:v>季</x:v>
      </x:c>
      <x:c r="H538" s="27" t="str">
        <x:v>小时</x:v>
      </x:c>
      <x:c r="I538" s="27" t="str">
        <x:v>累计值</x:v>
      </x:c>
      <x:c r="J538" s="27" t="str">
        <x:v>全国</x:v>
      </x:c>
      <x:c r="K538" s="27" t="str">
        <x:v>中国</x:v>
      </x:c>
      <x:c r="L538" s="28" t="str">
        <x:v>中国电力企业联合会</x:v>
      </x:c>
      <x:c r="M538" s="28" t="str">
        <x:v>getEcoDataIndEnergy</x:v>
      </x:c>
      <x:c r="N538" s="27" t="str">
        <x:v>2009-07-31</x:v>
      </x:c>
      <x:c r="O538" s="27" t="str">
        <x:v>2026-06-30</x:v>
      </x:c>
      <x:c r="P538" s="27" t="str">
        <x:v>持续更新</x:v>
      </x:c>
      <x:c r="Q538" s="27" t="str"/>
      <x:c r="R538" s="28" t="str"/>
    </x:row>
    <x:row r="539" ht="48" customHeight="1">
      <x:c r="A539" s="27" t="str">
        <x:v>801730</x:v>
      </x:c>
      <x:c r="B539" s="27" t="str">
        <x:v>电力设备</x:v>
      </x:c>
      <x:c r="C539" s="27" t="n">
        <x:v>28</x:v>
      </x:c>
      <x:c r="D539" s="27" t="str">
        <x:v>2020101579</x:v>
      </x:c>
      <x:c r="E539" s="28" t="str">
        <x:v>(全国)发电设备平均利用小时:水电:累计同比增减</x:v>
      </x:c>
      <x:c r="F539" s="28" t="str">
        <x:v>(National) Power Generation Equipment Average Utilization Hours: HydroPower: Cumulative Per Cent Change</x:v>
      </x:c>
      <x:c r="G539" s="27" t="str">
        <x:v>季</x:v>
      </x:c>
      <x:c r="H539" s="27" t="str">
        <x:v>小时</x:v>
      </x:c>
      <x:c r="I539" s="27" t="str">
        <x:v>累计同比增减</x:v>
      </x:c>
      <x:c r="J539" s="27" t="str">
        <x:v>全国</x:v>
      </x:c>
      <x:c r="K539" s="27" t="str">
        <x:v>中国</x:v>
      </x:c>
      <x:c r="L539" s="28" t="str">
        <x:v>中国电力企业联合会</x:v>
      </x:c>
      <x:c r="M539" s="28" t="str">
        <x:v>getEcoDataIndEnergy</x:v>
      </x:c>
      <x:c r="N539" s="27" t="str">
        <x:v>2009-07-31</x:v>
      </x:c>
      <x:c r="O539" s="27" t="str">
        <x:v>2026-06-30</x:v>
      </x:c>
      <x:c r="P539" s="27" t="str">
        <x:v>持续更新</x:v>
      </x:c>
      <x:c r="Q539" s="27" t="str"/>
      <x:c r="R539" s="28" t="str"/>
    </x:row>
    <x:row r="540" ht="48" customHeight="1">
      <x:c r="A540" s="27" t="str">
        <x:v>801730</x:v>
      </x:c>
      <x:c r="B540" s="27" t="str">
        <x:v>电力设备</x:v>
      </x:c>
      <x:c r="C540" s="27" t="n">
        <x:v>29</x:v>
      </x:c>
      <x:c r="D540" s="27" t="str">
        <x:v>2020101564</x:v>
      </x:c>
      <x:c r="E540" s="28" t="str">
        <x:v>(全国)发电设备平均利用小时:火电:累计值</x:v>
      </x:c>
      <x:c r="F540" s="28" t="str">
        <x:v>Power Generation Equipment Average Utilization Hours: Rmal Power: Cumulative</x:v>
      </x:c>
      <x:c r="G540" s="27" t="str">
        <x:v>季</x:v>
      </x:c>
      <x:c r="H540" s="27" t="str">
        <x:v>小时</x:v>
      </x:c>
      <x:c r="I540" s="27" t="str">
        <x:v>累计值</x:v>
      </x:c>
      <x:c r="J540" s="27" t="str">
        <x:v>全国</x:v>
      </x:c>
      <x:c r="K540" s="27" t="str">
        <x:v>中国</x:v>
      </x:c>
      <x:c r="L540" s="28" t="str">
        <x:v>中国电力企业联合会</x:v>
      </x:c>
      <x:c r="M540" s="28" t="str">
        <x:v>getEcoDataIndEnergy</x:v>
      </x:c>
      <x:c r="N540" s="27" t="str">
        <x:v>2009-07-31</x:v>
      </x:c>
      <x:c r="O540" s="27" t="str">
        <x:v>2026-06-30</x:v>
      </x:c>
      <x:c r="P540" s="27" t="str">
        <x:v>持续更新</x:v>
      </x:c>
      <x:c r="Q540" s="27" t="str"/>
      <x:c r="R540" s="28" t="str"/>
    </x:row>
    <x:row r="541" ht="48" customHeight="1">
      <x:c r="A541" s="27" t="str">
        <x:v>801730</x:v>
      </x:c>
      <x:c r="B541" s="27" t="str">
        <x:v>电力设备</x:v>
      </x:c>
      <x:c r="C541" s="27" t="n">
        <x:v>30</x:v>
      </x:c>
      <x:c r="D541" s="27" t="str">
        <x:v>2020101580</x:v>
      </x:c>
      <x:c r="E541" s="28" t="str">
        <x:v>(全国)发电设备平均利用小时:火电:累计同比增减</x:v>
      </x:c>
      <x:c r="F541" s="28" t="str">
        <x:v>(National) Power Generation Equipment Average Utilization Hours:rmal Power: Cumulative Per Cent Change</x:v>
      </x:c>
      <x:c r="G541" s="27" t="str">
        <x:v>季</x:v>
      </x:c>
      <x:c r="H541" s="27" t="str">
        <x:v>小时</x:v>
      </x:c>
      <x:c r="I541" s="27" t="str">
        <x:v>累计同比增减</x:v>
      </x:c>
      <x:c r="J541" s="27" t="str">
        <x:v>全国</x:v>
      </x:c>
      <x:c r="K541" s="27" t="str">
        <x:v>中国</x:v>
      </x:c>
      <x:c r="L541" s="28" t="str">
        <x:v>中国电力企业联合会</x:v>
      </x:c>
      <x:c r="M541" s="28" t="str">
        <x:v>getEcoDataIndEnergy</x:v>
      </x:c>
      <x:c r="N541" s="27" t="str">
        <x:v>2009-07-31</x:v>
      </x:c>
      <x:c r="O541" s="27" t="str">
        <x:v>2026-06-30</x:v>
      </x:c>
      <x:c r="P541" s="27" t="str">
        <x:v>持续更新</x:v>
      </x:c>
      <x:c r="Q541" s="27" t="str"/>
      <x:c r="R541" s="28" t="str"/>
    </x:row>
    <x:row r="542" ht="48" customHeight="1">
      <x:c r="A542" s="27" t="str">
        <x:v>801740</x:v>
      </x:c>
      <x:c r="B542" s="27" t="str">
        <x:v>国防军工</x:v>
      </x:c>
      <x:c r="C542" s="27" t="n">
        <x:v>1</x:v>
      </x:c>
      <x:c r="D542" s="27" t="str">
        <x:v>2160029360</x:v>
      </x:c>
      <x:c r="E542" s="28" t="str">
        <x:v>全国造船手持订单量:出口占比</x:v>
      </x:c>
      <x:c r="F542" s="28" t="str">
        <x:v>National Volume of Ship Building Handheld Orders: Proportion of Export</x:v>
      </x:c>
      <x:c r="G542" s="27" t="str">
        <x:v>月</x:v>
      </x:c>
      <x:c r="H542" s="27" t="str">
        <x:v>%</x:v>
      </x:c>
      <x:c r="I542" s="27" t="str">
        <x:v>累计占比</x:v>
      </x:c>
      <x:c r="J542" s="27" t="str"/>
      <x:c r="K542" s="27" t="str">
        <x:v>中国</x:v>
      </x:c>
      <x:c r="L542" s="28" t="str">
        <x:v>中国船舶工业行业协会</x:v>
      </x:c>
      <x:c r="M542" s="28" t="str">
        <x:v>getEcoDataIndTraffictransport</x:v>
      </x:c>
      <x:c r="N542" s="27" t="str">
        <x:v>2013-12-31</x:v>
      </x:c>
      <x:c r="O542" s="27" t="str">
        <x:v>2026-03-31</x:v>
      </x:c>
      <x:c r="P542" s="27" t="str">
        <x:v>持续更新</x:v>
      </x:c>
      <x:c r="Q542" s="27" t="str"/>
      <x:c r="R542" s="28" t="str"/>
    </x:row>
    <x:row r="543" ht="48" customHeight="1">
      <x:c r="A543" s="27" t="str">
        <x:v>801740</x:v>
      </x:c>
      <x:c r="B543" s="27" t="str">
        <x:v>国防军工</x:v>
      </x:c>
      <x:c r="C543" s="27" t="n">
        <x:v>2</x:v>
      </x:c>
      <x:c r="D543" s="27" t="str">
        <x:v>1020000202</x:v>
      </x:c>
      <x:c r="E543" s="28" t="str">
        <x:v>出口交货值:铁路、船舶、航空航天和其他运输设备制造业:当月同比</x:v>
      </x:c>
      <x:c r="F543" s="28" t="str">
        <x:v>Export Delivery Value: Railway, Marine, Aerospace And Other Transportation Equipment Manufacturing: Current YoY (Month)</x:v>
      </x:c>
      <x:c r="G543" s="27" t="str">
        <x:v>月</x:v>
      </x:c>
      <x:c r="H543" s="27" t="str">
        <x:v>%</x:v>
      </x:c>
      <x:c r="I543" s="27" t="str">
        <x:v>当期同比</x:v>
      </x:c>
      <x:c r="J543" s="27" t="str">
        <x:v>全国</x:v>
      </x:c>
      <x:c r="K543" s="27" t="str">
        <x:v>中国</x:v>
      </x:c>
      <x:c r="L543" s="28" t="str">
        <x:v>国家统计局</x:v>
      </x:c>
      <x:c r="M543" s="28" t="str">
        <x:v>getEcoDataChina</x:v>
      </x:c>
      <x:c r="N543" s="27" t="str">
        <x:v>2012-02-29</x:v>
      </x:c>
      <x:c r="O543" s="27" t="str">
        <x:v>2026-06-30</x:v>
      </x:c>
      <x:c r="P543" s="27" t="str">
        <x:v>持续更新</x:v>
      </x:c>
      <x:c r="Q543" s="27" t="str"/>
      <x:c r="R543" s="28" t="str"/>
    </x:row>
    <x:row r="544" ht="48" customHeight="1">
      <x:c r="A544" s="27" t="str">
        <x:v>801740</x:v>
      </x:c>
      <x:c r="B544" s="27" t="str">
        <x:v>国防军工</x:v>
      </x:c>
      <x:c r="C544" s="27" t="n">
        <x:v>3</x:v>
      </x:c>
      <x:c r="D544" s="27" t="str">
        <x:v>1020000161</x:v>
      </x:c>
      <x:c r="E544" s="28" t="str">
        <x:v>出口交货值:铁路、船舶、航空航天和其他运输设备制造业:当期值</x:v>
      </x:c>
      <x:c r="F544" s="28" t="str">
        <x:v>Export Delivery Value: Railway, Marine, Aerospace And Other Transportation Equipment Manufacturing: Current Value</x:v>
      </x:c>
      <x:c r="G544" s="27" t="str">
        <x:v>月</x:v>
      </x:c>
      <x:c r="H544" s="27" t="str">
        <x:v>亿元</x:v>
      </x:c>
      <x:c r="I544" s="27" t="str">
        <x:v>当期值</x:v>
      </x:c>
      <x:c r="J544" s="27" t="str">
        <x:v>全国</x:v>
      </x:c>
      <x:c r="K544" s="27" t="str">
        <x:v>中国</x:v>
      </x:c>
      <x:c r="L544" s="28" t="str">
        <x:v>国家统计局</x:v>
      </x:c>
      <x:c r="M544" s="28" t="str">
        <x:v>getEcoDataChina</x:v>
      </x:c>
      <x:c r="N544" s="27" t="str">
        <x:v>2012-02-29</x:v>
      </x:c>
      <x:c r="O544" s="27" t="str">
        <x:v>2026-06-30</x:v>
      </x:c>
      <x:c r="P544" s="27" t="str">
        <x:v>持续更新</x:v>
      </x:c>
      <x:c r="Q544" s="27" t="str"/>
      <x:c r="R544" s="28" t="str"/>
    </x:row>
    <x:row r="545" ht="48" customHeight="1">
      <x:c r="A545" s="27" t="str">
        <x:v>801740</x:v>
      </x:c>
      <x:c r="B545" s="27" t="str">
        <x:v>国防军工</x:v>
      </x:c>
      <x:c r="C545" s="27" t="n">
        <x:v>4</x:v>
      </x:c>
      <x:c r="D545" s="27" t="str">
        <x:v>1050000359</x:v>
      </x:c>
      <x:c r="E545" s="28" t="str">
        <x:v>固定资产投资完成额:制造业:铁路、船舶、航空航天和其他运输设备制造业:累计同比</x:v>
      </x:c>
      <x:c r="F545" s="28" t="str">
        <x:v>Fixed Assets Investment Completed: Manufacturing: Railway, Marine, Aerospace And Other Transportation Equipment Manufacturing: Cumulative YoY</x:v>
      </x:c>
      <x:c r="G545" s="27" t="str">
        <x:v>月</x:v>
      </x:c>
      <x:c r="H545" s="27" t="str">
        <x:v>%</x:v>
      </x:c>
      <x:c r="I545" s="27" t="str">
        <x:v>累计同比</x:v>
      </x:c>
      <x:c r="J545" s="27" t="str">
        <x:v>全国</x:v>
      </x:c>
      <x:c r="K545" s="27" t="str">
        <x:v>中国</x:v>
      </x:c>
      <x:c r="L545" s="28" t="str">
        <x:v>国家统计局</x:v>
      </x:c>
      <x:c r="M545" s="28" t="str">
        <x:v>getEcoDataChina</x:v>
      </x:c>
      <x:c r="N545" s="27" t="str">
        <x:v>2012-02-29</x:v>
      </x:c>
      <x:c r="O545" s="27" t="str">
        <x:v>2026-06-30</x:v>
      </x:c>
      <x:c r="P545" s="27" t="str">
        <x:v>持续更新</x:v>
      </x:c>
      <x:c r="Q545" s="27" t="str"/>
      <x:c r="R545" s="28" t="str"/>
    </x:row>
    <x:row r="546" ht="48" customHeight="1">
      <x:c r="A546" s="27" t="str">
        <x:v>801740</x:v>
      </x:c>
      <x:c r="B546" s="27" t="str">
        <x:v>国防军工</x:v>
      </x:c>
      <x:c r="C546" s="27" t="n">
        <x:v>5</x:v>
      </x:c>
      <x:c r="D546" s="27" t="str">
        <x:v>1020010283</x:v>
      </x:c>
      <x:c r="E546" s="28" t="str">
        <x:v>工业企业:投资收益:铁路、船舶、航空航天和其他运输设备制造业:累计值</x:v>
      </x:c>
      <x:c r="F546" s="28" t="str">
        <x:v>Investment Return: Railway, Ship, Aerospace and Other Transportation Equipment Manufacturing Industry: Cumulative Value</x:v>
      </x:c>
      <x:c r="G546" s="27" t="str">
        <x:v>月</x:v>
      </x:c>
      <x:c r="H546" s="27" t="str">
        <x:v>亿元</x:v>
      </x:c>
      <x:c r="I546" s="27" t="str">
        <x:v>累计值</x:v>
      </x:c>
      <x:c r="J546" s="27" t="str">
        <x:v>全国</x:v>
      </x:c>
      <x:c r="K546" s="27" t="str">
        <x:v>中国</x:v>
      </x:c>
      <x:c r="L546" s="28" t="str">
        <x:v>国家统计局</x:v>
      </x:c>
      <x:c r="M546" s="28" t="str">
        <x:v>getEcoDataChina</x:v>
      </x:c>
      <x:c r="N546" s="27" t="str">
        <x:v>2017-02-28</x:v>
      </x:c>
      <x:c r="O546" s="27" t="str">
        <x:v>2026-06-30</x:v>
      </x:c>
      <x:c r="P546" s="27" t="str">
        <x:v>持续更新</x:v>
      </x:c>
      <x:c r="Q546" s="27" t="str"/>
      <x:c r="R546" s="28" t="str"/>
    </x:row>
    <x:row r="547" ht="48" customHeight="1">
      <x:c r="A547" s="27" t="str">
        <x:v>801740</x:v>
      </x:c>
      <x:c r="B547" s="27" t="str">
        <x:v>国防军工</x:v>
      </x:c>
      <x:c r="C547" s="27" t="n">
        <x:v>6</x:v>
      </x:c>
      <x:c r="D547" s="27" t="str">
        <x:v>1050000441</x:v>
      </x:c>
      <x:c r="E547" s="28" t="str">
        <x:v>民间固定资产投资完成额:铁路、船舶、航空航天和其他运输设备制造业:累计同比</x:v>
      </x:c>
      <x:c r="F547" s="28" t="str">
        <x:v>Private Investment In Fixed Assets Completed: Railway, Marine, Aerospace And Other Transportation Equipment Manufacturing: Cumulative YoY</x:v>
      </x:c>
      <x:c r="G547" s="27" t="str">
        <x:v>月</x:v>
      </x:c>
      <x:c r="H547" s="27" t="str">
        <x:v>%</x:v>
      </x:c>
      <x:c r="I547" s="27" t="str">
        <x:v>累计同比</x:v>
      </x:c>
      <x:c r="J547" s="27" t="str">
        <x:v>全国</x:v>
      </x:c>
      <x:c r="K547" s="27" t="str">
        <x:v>中国</x:v>
      </x:c>
      <x:c r="L547" s="28" t="str">
        <x:v>国家统计局</x:v>
      </x:c>
      <x:c r="M547" s="28" t="str">
        <x:v>getEcoDataChina</x:v>
      </x:c>
      <x:c r="N547" s="27" t="str">
        <x:v>2012-03-31</x:v>
      </x:c>
      <x:c r="O547" s="27" t="str">
        <x:v>2026-06-30</x:v>
      </x:c>
      <x:c r="P547" s="27" t="str">
        <x:v>持续更新</x:v>
      </x:c>
      <x:c r="Q547" s="27" t="str"/>
      <x:c r="R547" s="28" t="str"/>
    </x:row>
    <x:row r="548" ht="48" customHeight="1">
      <x:c r="A548" s="27" t="str">
        <x:v>801740</x:v>
      </x:c>
      <x:c r="B548" s="27" t="str">
        <x:v>国防军工</x:v>
      </x:c>
      <x:c r="C548" s="27" t="n">
        <x:v>7</x:v>
      </x:c>
      <x:c r="D548" s="27" t="str">
        <x:v>1020001585</x:v>
      </x:c>
      <x:c r="E548" s="28" t="str">
        <x:v>产量:民用钢质船舶:当月值</x:v>
      </x:c>
      <x:c r="F548" s="28" t="str">
        <x:v>Output: Civil Steel Ships: Current</x:v>
      </x:c>
      <x:c r="G548" s="27" t="str">
        <x:v>月</x:v>
      </x:c>
      <x:c r="H548" s="27" t="str">
        <x:v>万载重吨</x:v>
      </x:c>
      <x:c r="I548" s="27" t="str">
        <x:v>当期值</x:v>
      </x:c>
      <x:c r="J548" s="27" t="str">
        <x:v>全国</x:v>
      </x:c>
      <x:c r="K548" s="27" t="str">
        <x:v>中国</x:v>
      </x:c>
      <x:c r="L548" s="28" t="str">
        <x:v>国家统计局</x:v>
      </x:c>
      <x:c r="M548" s="28" t="str">
        <x:v>getEcoDataChina</x:v>
      </x:c>
      <x:c r="N548" s="27" t="str">
        <x:v>1989-02-28</x:v>
      </x:c>
      <x:c r="O548" s="27" t="str">
        <x:v>2026-06-30</x:v>
      </x:c>
      <x:c r="P548" s="27" t="str">
        <x:v>持续更新</x:v>
      </x:c>
      <x:c r="Q548" s="27" t="str"/>
      <x:c r="R548" s="28" t="str"/>
    </x:row>
    <x:row r="549" ht="48" customHeight="1">
      <x:c r="A549" s="27" t="str">
        <x:v>801740</x:v>
      </x:c>
      <x:c r="B549" s="27" t="str">
        <x:v>国防军工</x:v>
      </x:c>
      <x:c r="C549" s="27" t="n">
        <x:v>8</x:v>
      </x:c>
      <x:c r="D549" s="27" t="str">
        <x:v>2087007385</x:v>
      </x:c>
      <x:c r="E549" s="28" t="str">
        <x:v>出口金额(美元):其他航空器;航天器及运载工具,亚轨道运载工具(8802):当月值</x:v>
      </x:c>
      <x:c r="F549" s="28" t="str">
        <x:v>Export Value (USD): Other Aircraft;Spacecraft and Vehicles, Suborbital Vehicles(8802): Current Month Value</x:v>
      </x:c>
      <x:c r="G549" s="27" t="str">
        <x:v>月</x:v>
      </x:c>
      <x:c r="H549" s="27" t="str">
        <x:v>美元</x:v>
      </x:c>
      <x:c r="I549" s="27" t="str">
        <x:v>当期值</x:v>
      </x:c>
      <x:c r="J549" s="27" t="str">
        <x:v>中国</x:v>
      </x:c>
      <x:c r="K549" s="27" t="str">
        <x:v>中国</x:v>
      </x:c>
      <x:c r="L549" s="28" t="str">
        <x:v>海关总署</x:v>
      </x:c>
      <x:c r="M549" s="28" t="str">
        <x:v>getEcoDataIndMachineryequipment</x:v>
      </x:c>
      <x:c r="N549" s="27" t="str">
        <x:v>2015-01-31</x:v>
      </x:c>
      <x:c r="O549" s="27" t="str">
        <x:v>2026-06-30</x:v>
      </x:c>
      <x:c r="P549" s="27" t="str">
        <x:v>持续更新</x:v>
      </x:c>
      <x:c r="Q549" s="27" t="str"/>
      <x:c r="R549" s="28" t="str"/>
    </x:row>
    <x:row r="550" ht="48" customHeight="1">
      <x:c r="A550" s="27" t="str">
        <x:v>801740</x:v>
      </x:c>
      <x:c r="B550" s="27" t="str">
        <x:v>国防军工</x:v>
      </x:c>
      <x:c r="C550" s="27" t="n">
        <x:v>9</x:v>
      </x:c>
      <x:c r="D550" s="27" t="str">
        <x:v>2087007371</x:v>
      </x:c>
      <x:c r="E550" s="28" t="str">
        <x:v>出口金额(美元):气球及飞艇;滑翔机、悬挂滑翔机等无动力航空器(8801):当月值</x:v>
      </x:c>
      <x:c r="F550" s="28" t="str">
        <x:v>Export Value (USD): Balloons and Airships;Unpowered Aircraft such as Glider and Hang Glider(8801): Current Month Value</x:v>
      </x:c>
      <x:c r="G550" s="27" t="str">
        <x:v>月</x:v>
      </x:c>
      <x:c r="H550" s="27" t="str">
        <x:v>美元</x:v>
      </x:c>
      <x:c r="I550" s="27" t="str">
        <x:v>当期值</x:v>
      </x:c>
      <x:c r="J550" s="27" t="str">
        <x:v>中国</x:v>
      </x:c>
      <x:c r="K550" s="27" t="str">
        <x:v>中国</x:v>
      </x:c>
      <x:c r="L550" s="28" t="str">
        <x:v>海关总署</x:v>
      </x:c>
      <x:c r="M550" s="28" t="str">
        <x:v>getEcoDataIndMachineryequipment</x:v>
      </x:c>
      <x:c r="N550" s="27" t="str">
        <x:v>2015-01-31</x:v>
      </x:c>
      <x:c r="O550" s="27" t="str">
        <x:v>2026-06-30</x:v>
      </x:c>
      <x:c r="P550" s="27" t="str">
        <x:v>持续更新</x:v>
      </x:c>
      <x:c r="Q550" s="27" t="str"/>
      <x:c r="R550" s="28" t="str"/>
    </x:row>
    <x:row r="551" ht="48" customHeight="1">
      <x:c r="A551" s="27" t="str">
        <x:v>801740</x:v>
      </x:c>
      <x:c r="B551" s="27" t="str">
        <x:v>国防军工</x:v>
      </x:c>
      <x:c r="C551" s="27" t="n">
        <x:v>10</x:v>
      </x:c>
      <x:c r="D551" s="27" t="str">
        <x:v>2087005765</x:v>
      </x:c>
      <x:c r="E551" s="28" t="str">
        <x:v>出口金额(美元):航空器、航天器及其零件(88):当月同比</x:v>
      </x:c>
      <x:c r="F551" s="28" t="str">
        <x:v>Export Value (USD): Aircraft, Spacecraft And Their Parts(88): Mom</x:v>
      </x:c>
      <x:c r="G551" s="27" t="str">
        <x:v>月</x:v>
      </x:c>
      <x:c r="H551" s="27" t="str">
        <x:v>%</x:v>
      </x:c>
      <x:c r="I551" s="27" t="str">
        <x:v>当期同比</x:v>
      </x:c>
      <x:c r="J551" s="27" t="str">
        <x:v>中国</x:v>
      </x:c>
      <x:c r="K551" s="27" t="str">
        <x:v>中国</x:v>
      </x:c>
      <x:c r="L551" s="28" t="str">
        <x:v>海关总署</x:v>
      </x:c>
      <x:c r="M551" s="28" t="str">
        <x:v>getEcoDataIndMachineryequipment</x:v>
      </x:c>
      <x:c r="N551" s="27" t="str">
        <x:v>2016-01-31</x:v>
      </x:c>
      <x:c r="O551" s="27" t="str">
        <x:v>2026-06-30</x:v>
      </x:c>
      <x:c r="P551" s="27" t="str">
        <x:v>持续更新</x:v>
      </x:c>
      <x:c r="Q551" s="27" t="str"/>
      <x:c r="R551" s="28" t="str"/>
    </x:row>
    <x:row r="552" ht="48" customHeight="1">
      <x:c r="A552" s="27" t="str">
        <x:v>801740</x:v>
      </x:c>
      <x:c r="B552" s="27" t="str">
        <x:v>国防军工</x:v>
      </x:c>
      <x:c r="C552" s="27" t="n">
        <x:v>11</x:v>
      </x:c>
      <x:c r="D552" s="27" t="str">
        <x:v>2087007413</x:v>
      </x:c>
      <x:c r="E552" s="28" t="str">
        <x:v>出口金额(美元):航空器的发射装置、甲板停机装置等及其零件(8805):当月值</x:v>
      </x:c>
      <x:c r="F552" s="28" t="str">
        <x:v>Export Value (USD): Aunching Device, Deck Stop Device, Etc. of 8805 Aircraft and Their Parts(8805): Current Month Value</x:v>
      </x:c>
      <x:c r="G552" s="27" t="str">
        <x:v>月</x:v>
      </x:c>
      <x:c r="H552" s="27" t="str">
        <x:v>美元</x:v>
      </x:c>
      <x:c r="I552" s="27" t="str">
        <x:v>当期值</x:v>
      </x:c>
      <x:c r="J552" s="27" t="str">
        <x:v>中国</x:v>
      </x:c>
      <x:c r="K552" s="27" t="str">
        <x:v>中国</x:v>
      </x:c>
      <x:c r="L552" s="28" t="str">
        <x:v>海关总署</x:v>
      </x:c>
      <x:c r="M552" s="28" t="str">
        <x:v>getEcoDataIndMachineryequipment</x:v>
      </x:c>
      <x:c r="N552" s="27" t="str">
        <x:v>2015-01-31</x:v>
      </x:c>
      <x:c r="O552" s="27" t="str">
        <x:v>2026-06-30</x:v>
      </x:c>
      <x:c r="P552" s="27" t="str">
        <x:v>持续更新</x:v>
      </x:c>
      <x:c r="Q552" s="27" t="str"/>
      <x:c r="R552" s="28" t="str"/>
    </x:row>
    <x:row r="553" ht="48" customHeight="1">
      <x:c r="A553" s="27" t="str">
        <x:v>801740</x:v>
      </x:c>
      <x:c r="B553" s="27" t="str">
        <x:v>国防军工</x:v>
      </x:c>
      <x:c r="C553" s="27" t="n">
        <x:v>12</x:v>
      </x:c>
      <x:c r="D553" s="27" t="str">
        <x:v>2160712475</x:v>
      </x:c>
      <x:c r="E553" s="28" t="str">
        <x:v>出口金额(美元):船舶及浮动结构体(89):当月值</x:v>
      </x:c>
      <x:c r="F553" s="28" t="str">
        <x:v>Export Value (USD): Ships And Floating Structures (Transportation)(89): Current Month Value</x:v>
      </x:c>
      <x:c r="G553" s="27" t="str">
        <x:v>月</x:v>
      </x:c>
      <x:c r="H553" s="27" t="str">
        <x:v>美元</x:v>
      </x:c>
      <x:c r="I553" s="27" t="str">
        <x:v>当期值</x:v>
      </x:c>
      <x:c r="J553" s="27" t="str">
        <x:v>中国</x:v>
      </x:c>
      <x:c r="K553" s="27" t="str">
        <x:v>中国</x:v>
      </x:c>
      <x:c r="L553" s="28" t="str">
        <x:v>海关总署</x:v>
      </x:c>
      <x:c r="M553" s="28" t="str">
        <x:v>getEcoDataIndTraffictransport</x:v>
      </x:c>
      <x:c r="N553" s="27" t="str">
        <x:v>2015-01-31</x:v>
      </x:c>
      <x:c r="O553" s="27" t="str">
        <x:v>2026-06-30</x:v>
      </x:c>
      <x:c r="P553" s="27" t="str">
        <x:v>持续更新</x:v>
      </x:c>
      <x:c r="Q553" s="27" t="str"/>
      <x:c r="R553" s="28" t="str"/>
    </x:row>
    <x:row r="554" ht="48" customHeight="1">
      <x:c r="A554" s="27" t="str">
        <x:v>801740</x:v>
      </x:c>
      <x:c r="B554" s="27" t="str">
        <x:v>国防军工</x:v>
      </x:c>
      <x:c r="C554" s="27" t="n">
        <x:v>13</x:v>
      </x:c>
      <x:c r="D554" s="27" t="str">
        <x:v>2087007387</x:v>
      </x:c>
      <x:c r="E554" s="28" t="str">
        <x:v>进出口金额(美元):其他航空器;航天器及运载工具,亚轨道运载工具(8802):当月值</x:v>
      </x:c>
      <x:c r="F554" s="28" t="str">
        <x:v>Import and Export Value (USD): Other Aircraft;Spacecraft and Vehicles, Suborbital Vehicles(8802): Current Month Value</x:v>
      </x:c>
      <x:c r="G554" s="27" t="str">
        <x:v>月</x:v>
      </x:c>
      <x:c r="H554" s="27" t="str">
        <x:v>美元</x:v>
      </x:c>
      <x:c r="I554" s="27" t="str">
        <x:v>当期值</x:v>
      </x:c>
      <x:c r="J554" s="27" t="str">
        <x:v>中国</x:v>
      </x:c>
      <x:c r="K554" s="27" t="str">
        <x:v>中国</x:v>
      </x:c>
      <x:c r="L554" s="28" t="str">
        <x:v>海关总署</x:v>
      </x:c>
      <x:c r="M554" s="28" t="str">
        <x:v>getEcoDataIndMachineryequipment</x:v>
      </x:c>
      <x:c r="N554" s="27" t="str">
        <x:v>2015-01-31</x:v>
      </x:c>
      <x:c r="O554" s="27" t="str">
        <x:v>2026-06-30</x:v>
      </x:c>
      <x:c r="P554" s="27" t="str">
        <x:v>持续更新</x:v>
      </x:c>
      <x:c r="Q554" s="27" t="str"/>
      <x:c r="R554" s="28" t="str"/>
    </x:row>
    <x:row r="555" ht="48" customHeight="1">
      <x:c r="A555" s="27" t="str">
        <x:v>801740</x:v>
      </x:c>
      <x:c r="B555" s="27" t="str">
        <x:v>国防军工</x:v>
      </x:c>
      <x:c r="C555" s="27" t="n">
        <x:v>14</x:v>
      </x:c>
      <x:c r="D555" s="27" t="str">
        <x:v>2087007373</x:v>
      </x:c>
      <x:c r="E555" s="28" t="str">
        <x:v>进出口金额(美元):气球及飞艇;滑翔机、悬挂滑翔机等无动力航空器(8801):当月值</x:v>
      </x:c>
      <x:c r="F555" s="28" t="str">
        <x:v>Import and Export Value (USD): Balloons and Airships;Unpowered Aircraft such as Glider and Hang Glider(8801): Current Month Value</x:v>
      </x:c>
      <x:c r="G555" s="27" t="str">
        <x:v>月</x:v>
      </x:c>
      <x:c r="H555" s="27" t="str">
        <x:v>美元</x:v>
      </x:c>
      <x:c r="I555" s="27" t="str">
        <x:v>当期值</x:v>
      </x:c>
      <x:c r="J555" s="27" t="str">
        <x:v>中国</x:v>
      </x:c>
      <x:c r="K555" s="27" t="str">
        <x:v>中国</x:v>
      </x:c>
      <x:c r="L555" s="28" t="str">
        <x:v>海关总署</x:v>
      </x:c>
      <x:c r="M555" s="28" t="str">
        <x:v>getEcoDataIndMachineryequipment</x:v>
      </x:c>
      <x:c r="N555" s="27" t="str">
        <x:v>2015-01-31</x:v>
      </x:c>
      <x:c r="O555" s="27" t="str">
        <x:v>2026-06-30</x:v>
      </x:c>
      <x:c r="P555" s="27" t="str">
        <x:v>持续更新</x:v>
      </x:c>
      <x:c r="Q555" s="27" t="str"/>
      <x:c r="R555" s="28" t="str"/>
    </x:row>
    <x:row r="556" ht="48" customHeight="1">
      <x:c r="A556" s="27" t="str">
        <x:v>801740</x:v>
      </x:c>
      <x:c r="B556" s="27" t="str">
        <x:v>国防军工</x:v>
      </x:c>
      <x:c r="C556" s="27" t="n">
        <x:v>15</x:v>
      </x:c>
      <x:c r="D556" s="27" t="str">
        <x:v>2087005763</x:v>
      </x:c>
      <x:c r="E556" s="28" t="str">
        <x:v>进出口金额(美元):航空器、航天器及其零件(88):当月值</x:v>
      </x:c>
      <x:c r="F556" s="28" t="str">
        <x:v>Import And Export Value (USD): Aircraft, Spacecraft And Their Parts(88): Current Month Value</x:v>
      </x:c>
      <x:c r="G556" s="27" t="str">
        <x:v>月</x:v>
      </x:c>
      <x:c r="H556" s="27" t="str">
        <x:v>美元</x:v>
      </x:c>
      <x:c r="I556" s="27" t="str">
        <x:v>当期值</x:v>
      </x:c>
      <x:c r="J556" s="27" t="str">
        <x:v>中国</x:v>
      </x:c>
      <x:c r="K556" s="27" t="str">
        <x:v>中国</x:v>
      </x:c>
      <x:c r="L556" s="28" t="str">
        <x:v>海关总署</x:v>
      </x:c>
      <x:c r="M556" s="28" t="str">
        <x:v>getEcoDataIndMachineryequipment</x:v>
      </x:c>
      <x:c r="N556" s="27" t="str">
        <x:v>2015-01-31</x:v>
      </x:c>
      <x:c r="O556" s="27" t="str">
        <x:v>2026-06-30</x:v>
      </x:c>
      <x:c r="P556" s="27" t="str">
        <x:v>持续更新</x:v>
      </x:c>
      <x:c r="Q556" s="27" t="str"/>
      <x:c r="R556" s="28" t="str"/>
    </x:row>
    <x:row r="557" ht="48" customHeight="1">
      <x:c r="A557" s="27" t="str">
        <x:v>801740</x:v>
      </x:c>
      <x:c r="B557" s="27" t="str">
        <x:v>国防军工</x:v>
      </x:c>
      <x:c r="C557" s="27" t="n">
        <x:v>16</x:v>
      </x:c>
      <x:c r="D557" s="27" t="str">
        <x:v>2087007415</x:v>
      </x:c>
      <x:c r="E557" s="28" t="str">
        <x:v>进出口金额(美元):航空器的发射装置、甲板停机装置等及其零件(8805):当月值</x:v>
      </x:c>
      <x:c r="F557" s="28" t="str">
        <x:v>Import and Export Value (USD): Aunching Device, Deck Stop Device, Etc. of 8805 Aircraft and Their Parts(8805): Current Month Value</x:v>
      </x:c>
      <x:c r="G557" s="27" t="str">
        <x:v>月</x:v>
      </x:c>
      <x:c r="H557" s="27" t="str">
        <x:v>美元</x:v>
      </x:c>
      <x:c r="I557" s="27" t="str">
        <x:v>当期值</x:v>
      </x:c>
      <x:c r="J557" s="27" t="str">
        <x:v>中国</x:v>
      </x:c>
      <x:c r="K557" s="27" t="str">
        <x:v>中国</x:v>
      </x:c>
      <x:c r="L557" s="28" t="str">
        <x:v>海关总署</x:v>
      </x:c>
      <x:c r="M557" s="28" t="str">
        <x:v>getEcoDataIndMachineryequipment</x:v>
      </x:c>
      <x:c r="N557" s="27" t="str">
        <x:v>2015-01-31</x:v>
      </x:c>
      <x:c r="O557" s="27" t="str">
        <x:v>2026-06-30</x:v>
      </x:c>
      <x:c r="P557" s="27" t="str">
        <x:v>持续更新</x:v>
      </x:c>
      <x:c r="Q557" s="27" t="str"/>
      <x:c r="R557" s="28" t="str"/>
    </x:row>
    <x:row r="558" ht="48" customHeight="1">
      <x:c r="A558" s="27" t="str">
        <x:v>801740</x:v>
      </x:c>
      <x:c r="B558" s="27" t="str">
        <x:v>国防军工</x:v>
      </x:c>
      <x:c r="C558" s="27" t="n">
        <x:v>17</x:v>
      </x:c>
      <x:c r="D558" s="27" t="str">
        <x:v>2160712477</x:v>
      </x:c>
      <x:c r="E558" s="28" t="str">
        <x:v>进出口金额(美元):船舶及浮动结构体(89):当月值</x:v>
      </x:c>
      <x:c r="F558" s="28" t="str">
        <x:v>Import And Export Value (USD): Ships And Floating Structures (Transportation)(89): Current Month Value</x:v>
      </x:c>
      <x:c r="G558" s="27" t="str">
        <x:v>月</x:v>
      </x:c>
      <x:c r="H558" s="27" t="str">
        <x:v>美元</x:v>
      </x:c>
      <x:c r="I558" s="27" t="str">
        <x:v>当期值</x:v>
      </x:c>
      <x:c r="J558" s="27" t="str">
        <x:v>中国</x:v>
      </x:c>
      <x:c r="K558" s="27" t="str">
        <x:v>中国</x:v>
      </x:c>
      <x:c r="L558" s="28" t="str">
        <x:v>海关总署</x:v>
      </x:c>
      <x:c r="M558" s="28" t="str">
        <x:v>getEcoDataIndTraffictransport</x:v>
      </x:c>
      <x:c r="N558" s="27" t="str">
        <x:v>2015-01-31</x:v>
      </x:c>
      <x:c r="O558" s="27" t="str">
        <x:v>2026-06-30</x:v>
      </x:c>
      <x:c r="P558" s="27" t="str">
        <x:v>持续更新</x:v>
      </x:c>
      <x:c r="Q558" s="27" t="str"/>
      <x:c r="R558" s="28" t="str"/>
    </x:row>
    <x:row r="559" ht="48" customHeight="1">
      <x:c r="A559" s="27" t="str">
        <x:v>801740</x:v>
      </x:c>
      <x:c r="B559" s="27" t="str">
        <x:v>国防军工</x:v>
      </x:c>
      <x:c r="C559" s="27" t="n">
        <x:v>18</x:v>
      </x:c>
      <x:c r="D559" s="27" t="str">
        <x:v>2160029358</x:v>
      </x:c>
      <x:c r="E559" s="28" t="str">
        <x:v>全国造船完工量:出口占比</x:v>
      </x:c>
      <x:c r="F559" s="28" t="str">
        <x:v>National Completion Quantity of Ship Building: Proportion of Export</x:v>
      </x:c>
      <x:c r="G559" s="27" t="str">
        <x:v>月</x:v>
      </x:c>
      <x:c r="H559" s="27" t="str">
        <x:v>%</x:v>
      </x:c>
      <x:c r="I559" s="27" t="str">
        <x:v>累计占比</x:v>
      </x:c>
      <x:c r="J559" s="27" t="str"/>
      <x:c r="K559" s="27" t="str">
        <x:v>中国</x:v>
      </x:c>
      <x:c r="L559" s="28" t="str">
        <x:v>中国船舶工业行业协会</x:v>
      </x:c>
      <x:c r="M559" s="28" t="str">
        <x:v>getEcoDataIndTraffictransport</x:v>
      </x:c>
      <x:c r="N559" s="27" t="str">
        <x:v>2013-12-31</x:v>
      </x:c>
      <x:c r="O559" s="27" t="str">
        <x:v>2026-03-31</x:v>
      </x:c>
      <x:c r="P559" s="27" t="str">
        <x:v>持续更新</x:v>
      </x:c>
      <x:c r="Q559" s="27" t="str"/>
      <x:c r="R559" s="28" t="str"/>
    </x:row>
    <x:row r="560" ht="48" customHeight="1">
      <x:c r="A560" s="27" t="str">
        <x:v>801740</x:v>
      </x:c>
      <x:c r="B560" s="27" t="str">
        <x:v>国防军工</x:v>
      </x:c>
      <x:c r="C560" s="27" t="n">
        <x:v>19</x:v>
      </x:c>
      <x:c r="D560" s="27" t="str">
        <x:v>2160029351</x:v>
      </x:c>
      <x:c r="E560" s="28" t="str">
        <x:v>全国造船手持订单量:累计同比</x:v>
      </x:c>
      <x:c r="F560" s="28" t="str">
        <x:v>National Volume of Ship Building Handheld Orders: Cumulative YoY</x:v>
      </x:c>
      <x:c r="G560" s="27" t="str">
        <x:v>月</x:v>
      </x:c>
      <x:c r="H560" s="27" t="str">
        <x:v>%</x:v>
      </x:c>
      <x:c r="I560" s="27" t="str">
        <x:v>累计同比</x:v>
      </x:c>
      <x:c r="J560" s="27" t="str"/>
      <x:c r="K560" s="27" t="str">
        <x:v>中国</x:v>
      </x:c>
      <x:c r="L560" s="28" t="str">
        <x:v>中国船舶工业行业协会</x:v>
      </x:c>
      <x:c r="M560" s="28" t="str">
        <x:v>getEcoDataIndTraffictransport</x:v>
      </x:c>
      <x:c r="N560" s="27" t="str">
        <x:v>2013-12-31</x:v>
      </x:c>
      <x:c r="O560" s="27" t="str">
        <x:v>2026-03-31</x:v>
      </x:c>
      <x:c r="P560" s="27" t="str">
        <x:v>持续更新</x:v>
      </x:c>
      <x:c r="Q560" s="27" t="str"/>
      <x:c r="R560" s="28" t="str"/>
    </x:row>
    <x:row r="561" ht="48" customHeight="1">
      <x:c r="A561" s="27" t="str">
        <x:v>801740</x:v>
      </x:c>
      <x:c r="B561" s="27" t="str">
        <x:v>国防军工</x:v>
      </x:c>
      <x:c r="C561" s="27" t="n">
        <x:v>20</x:v>
      </x:c>
      <x:c r="D561" s="27" t="str">
        <x:v>1040015524</x:v>
      </x:c>
      <x:c r="E561" s="28" t="str">
        <x:v>PPI:铁路、船舶、航空航天和其他运输设备制造业(上年同月=100)</x:v>
      </x:c>
      <x:c r="F561" s="28" t="str">
        <x:v>PPI: Railway, Ship, Aerospace and Other Transportation Equipment Manufacturing Industry (CYoY=100)</x:v>
      </x:c>
      <x:c r="G561" s="27" t="str">
        <x:v>月</x:v>
      </x:c>
      <x:c r="H561" s="27" t="str">
        <x:v>上年同月=100</x:v>
      </x:c>
      <x:c r="I561" s="27" t="str">
        <x:v>当期值</x:v>
      </x:c>
      <x:c r="J561" s="27" t="str">
        <x:v>全国</x:v>
      </x:c>
      <x:c r="K561" s="27" t="str">
        <x:v>中国</x:v>
      </x:c>
      <x:c r="L561" s="28" t="str">
        <x:v>国家统计局</x:v>
      </x:c>
      <x:c r="M561" s="28" t="str">
        <x:v>getEcoDataChina</x:v>
      </x:c>
      <x:c r="N561" s="27" t="str">
        <x:v>2013-08-31</x:v>
      </x:c>
      <x:c r="O561" s="27" t="str">
        <x:v>2026-06-30</x:v>
      </x:c>
      <x:c r="P561" s="27" t="str">
        <x:v>持续更新</x:v>
      </x:c>
      <x:c r="Q561" s="27" t="str"/>
      <x:c r="R561" s="28" t="str"/>
    </x:row>
    <x:row r="562" ht="48" customHeight="1">
      <x:c r="A562" s="27" t="str">
        <x:v>801740</x:v>
      </x:c>
      <x:c r="B562" s="27" t="str">
        <x:v>国防军工</x:v>
      </x:c>
      <x:c r="C562" s="27" t="n">
        <x:v>21</x:v>
      </x:c>
      <x:c r="D562" s="27" t="str">
        <x:v>1020000667</x:v>
      </x:c>
      <x:c r="E562" s="28" t="str">
        <x:v>三项期间费用率:铁路、船舶、航空航天和其他运输设备制造业</x:v>
      </x:c>
      <x:c r="F562" s="28" t="str">
        <x:v>Three Types Of Expenses Rate: Transportation Equipment Manufacturing</x:v>
      </x:c>
      <x:c r="G562" s="27" t="str">
        <x:v>月</x:v>
      </x:c>
      <x:c r="H562" s="27" t="str">
        <x:v>%</x:v>
      </x:c>
      <x:c r="I562" s="27" t="str">
        <x:v>当期值</x:v>
      </x:c>
      <x:c r="J562" s="27" t="str">
        <x:v>全国</x:v>
      </x:c>
      <x:c r="K562" s="27" t="str">
        <x:v>中国</x:v>
      </x:c>
      <x:c r="L562" s="28" t="str">
        <x:v>国家统计局</x:v>
      </x:c>
      <x:c r="M562" s="28" t="str">
        <x:v>getEcoDataChina</x:v>
      </x:c>
      <x:c r="N562" s="27" t="str">
        <x:v>2011-02-28</x:v>
      </x:c>
      <x:c r="O562" s="27" t="str">
        <x:v>2026-06-30</x:v>
      </x:c>
      <x:c r="P562" s="27" t="str">
        <x:v>持续更新</x:v>
      </x:c>
      <x:c r="Q562" s="27" t="str"/>
      <x:c r="R562" s="28" t="str"/>
    </x:row>
    <x:row r="563" ht="48" customHeight="1">
      <x:c r="A563" s="27" t="str">
        <x:v>801740</x:v>
      </x:c>
      <x:c r="B563" s="27" t="str">
        <x:v>国防军工</x:v>
      </x:c>
      <x:c r="C563" s="27" t="n">
        <x:v>22</x:v>
      </x:c>
      <x:c r="D563" s="27" t="str">
        <x:v>1020008409</x:v>
      </x:c>
      <x:c r="E563" s="28" t="str">
        <x:v>工业企业:亏损企业亏损额:铁路、船舶、航空航天和其他运输设备制造业:累计值</x:v>
      </x:c>
      <x:c r="F563" s="28" t="str">
        <x:v>Loss of Money-Losing Enterprises: Railway, Ship, Aerospace and Other Transportation Equipment Manufacturing Industry: Cumulative Value</x:v>
      </x:c>
      <x:c r="G563" s="27" t="str">
        <x:v>月</x:v>
      </x:c>
      <x:c r="H563" s="27" t="str">
        <x:v>亿元</x:v>
      </x:c>
      <x:c r="I563" s="27" t="str">
        <x:v>累计值</x:v>
      </x:c>
      <x:c r="J563" s="27" t="str">
        <x:v>全国</x:v>
      </x:c>
      <x:c r="K563" s="27" t="str">
        <x:v>中国</x:v>
      </x:c>
      <x:c r="L563" s="28" t="str">
        <x:v>国家统计局</x:v>
      </x:c>
      <x:c r="M563" s="28" t="str">
        <x:v>getEcoDataChina</x:v>
      </x:c>
      <x:c r="N563" s="27" t="str">
        <x:v>2000-02-29</x:v>
      </x:c>
      <x:c r="O563" s="27" t="str">
        <x:v>2026-06-30</x:v>
      </x:c>
      <x:c r="P563" s="27" t="str">
        <x:v>持续更新</x:v>
      </x:c>
      <x:c r="Q563" s="27" t="str"/>
      <x:c r="R563" s="28" t="str"/>
    </x:row>
    <x:row r="564" ht="48" customHeight="1">
      <x:c r="A564" s="27" t="str">
        <x:v>801740</x:v>
      </x:c>
      <x:c r="B564" s="27" t="str">
        <x:v>国防军工</x:v>
      </x:c>
      <x:c r="C564" s="27" t="n">
        <x:v>23</x:v>
      </x:c>
      <x:c r="D564" s="27" t="str">
        <x:v>1020006267</x:v>
      </x:c>
      <x:c r="E564" s="28" t="str">
        <x:v>工业企业:亏损企业单位数:铁路、船舶、航空航天和其他运输设备制造业:累计值</x:v>
      </x:c>
      <x:c r="F564" s="28" t="str">
        <x:v>Number of Loss-Making Enterprises: Railway, Ship, Aerospace and Other Transportation Equipment Manufacturing Industry: Cumulative Value</x:v>
      </x:c>
      <x:c r="G564" s="27" t="str">
        <x:v>月</x:v>
      </x:c>
      <x:c r="H564" s="27" t="str">
        <x:v>个</x:v>
      </x:c>
      <x:c r="I564" s="27" t="str">
        <x:v>累计值</x:v>
      </x:c>
      <x:c r="J564" s="27" t="str">
        <x:v>全国</x:v>
      </x:c>
      <x:c r="K564" s="27" t="str">
        <x:v>中国</x:v>
      </x:c>
      <x:c r="L564" s="28" t="str">
        <x:v>国家统计局</x:v>
      </x:c>
      <x:c r="M564" s="28" t="str">
        <x:v>getEcoDataChina</x:v>
      </x:c>
      <x:c r="N564" s="27" t="str">
        <x:v>2000-02-29</x:v>
      </x:c>
      <x:c r="O564" s="27" t="str">
        <x:v>2026-06-30</x:v>
      </x:c>
      <x:c r="P564" s="27" t="str">
        <x:v>持续更新</x:v>
      </x:c>
      <x:c r="Q564" s="27" t="str"/>
      <x:c r="R564" s="28" t="str"/>
    </x:row>
    <x:row r="565" ht="48" customHeight="1">
      <x:c r="A565" s="27" t="str">
        <x:v>801740</x:v>
      </x:c>
      <x:c r="B565" s="27" t="str">
        <x:v>国防军工</x:v>
      </x:c>
      <x:c r="C565" s="27" t="n">
        <x:v>24</x:v>
      </x:c>
      <x:c r="D565" s="27" t="str">
        <x:v>1020006771</x:v>
      </x:c>
      <x:c r="E565" s="28" t="str">
        <x:v>工业企业:产成品存货:铁路、船舶、航空航天和其他运输设备制造业:累计值</x:v>
      </x:c>
      <x:c r="F565" s="28" t="str">
        <x:v>Finished Goods Inventory: Railway, Ship, Aerospace and Other Transportation Equipment Manufacturing Industry: Cumulative Value</x:v>
      </x:c>
      <x:c r="G565" s="27" t="str">
        <x:v>月</x:v>
      </x:c>
      <x:c r="H565" s="27" t="str">
        <x:v>亿元</x:v>
      </x:c>
      <x:c r="I565" s="27" t="str">
        <x:v>累计值</x:v>
      </x:c>
      <x:c r="J565" s="27" t="str">
        <x:v>全国</x:v>
      </x:c>
      <x:c r="K565" s="27" t="str">
        <x:v>中国</x:v>
      </x:c>
      <x:c r="L565" s="28" t="str">
        <x:v>国家统计局</x:v>
      </x:c>
      <x:c r="M565" s="28" t="str">
        <x:v>getEcoDataChina</x:v>
      </x:c>
      <x:c r="N565" s="27" t="str">
        <x:v>2000-02-29</x:v>
      </x:c>
      <x:c r="O565" s="27" t="str">
        <x:v>2026-06-30</x:v>
      </x:c>
      <x:c r="P565" s="27" t="str">
        <x:v>持续更新</x:v>
      </x:c>
      <x:c r="Q565" s="27" t="str"/>
      <x:c r="R565" s="28" t="str"/>
    </x:row>
    <x:row r="566" ht="48" customHeight="1">
      <x:c r="A566" s="27" t="str">
        <x:v>801740</x:v>
      </x:c>
      <x:c r="B566" s="27" t="str">
        <x:v>国防军工</x:v>
      </x:c>
      <x:c r="C566" s="27" t="n">
        <x:v>25</x:v>
      </x:c>
      <x:c r="D566" s="27" t="str">
        <x:v>1020008283</x:v>
      </x:c>
      <x:c r="E566" s="28" t="str">
        <x:v>工业企业:利润总额:铁路、船舶、航空航天和其他运输设备制造业:累计值</x:v>
      </x:c>
      <x:c r="F566" s="28" t="str">
        <x:v>Total Profit: Railway, Ship, Aerospace and Other Transportation Equipment Manufacturing Industry: Cumulative Value</x:v>
      </x:c>
      <x:c r="G566" s="27" t="str">
        <x:v>月</x:v>
      </x:c>
      <x:c r="H566" s="27" t="str">
        <x:v>亿元</x:v>
      </x:c>
      <x:c r="I566" s="27" t="str">
        <x:v>累计值</x:v>
      </x:c>
      <x:c r="J566" s="27" t="str">
        <x:v>全国</x:v>
      </x:c>
      <x:c r="K566" s="27" t="str">
        <x:v>中国</x:v>
      </x:c>
      <x:c r="L566" s="28" t="str">
        <x:v>国家统计局</x:v>
      </x:c>
      <x:c r="M566" s="28" t="str">
        <x:v>getEcoDataChina</x:v>
      </x:c>
      <x:c r="N566" s="27" t="str">
        <x:v>2000-02-29</x:v>
      </x:c>
      <x:c r="O566" s="27" t="str">
        <x:v>2026-06-30</x:v>
      </x:c>
      <x:c r="P566" s="27" t="str">
        <x:v>持续更新</x:v>
      </x:c>
      <x:c r="Q566" s="27" t="str"/>
      <x:c r="R566" s="28" t="str"/>
    </x:row>
    <x:row r="567" ht="48" customHeight="1">
      <x:c r="A567" s="27" t="str">
        <x:v>801740</x:v>
      </x:c>
      <x:c r="B567" s="27" t="str">
        <x:v>国防军工</x:v>
      </x:c>
      <x:c r="C567" s="27" t="n">
        <x:v>26</x:v>
      </x:c>
      <x:c r="D567" s="27" t="str">
        <x:v>1020006161</x:v>
      </x:c>
      <x:c r="E567" s="28" t="str">
        <x:v>工业企业:单位数:铁路、船舶、航空航天和其他运输设备制造业:累计值</x:v>
      </x:c>
      <x:c r="F567" s="28" t="str">
        <x:v>Number of Enterprises: Railway, Ship, Aerospace and Other Transportation Equipment Manufacturing Industry: Cumulative Value</x:v>
      </x:c>
      <x:c r="G567" s="27" t="str">
        <x:v>月</x:v>
      </x:c>
      <x:c r="H567" s="27" t="str">
        <x:v>个</x:v>
      </x:c>
      <x:c r="I567" s="27" t="str">
        <x:v>累计值</x:v>
      </x:c>
      <x:c r="J567" s="27" t="str">
        <x:v>全国</x:v>
      </x:c>
      <x:c r="K567" s="27" t="str">
        <x:v>中国</x:v>
      </x:c>
      <x:c r="L567" s="28" t="str">
        <x:v>国家统计局</x:v>
      </x:c>
      <x:c r="M567" s="28" t="str">
        <x:v>getEcoDataChina</x:v>
      </x:c>
      <x:c r="N567" s="27" t="str">
        <x:v>2001-02-28</x:v>
      </x:c>
      <x:c r="O567" s="27" t="str">
        <x:v>2026-06-30</x:v>
      </x:c>
      <x:c r="P567" s="27" t="str">
        <x:v>持续更新</x:v>
      </x:c>
      <x:c r="Q567" s="27" t="str"/>
      <x:c r="R567" s="28" t="str"/>
    </x:row>
    <x:row r="568" ht="48" customHeight="1">
      <x:c r="A568" s="27" t="str">
        <x:v>801740</x:v>
      </x:c>
      <x:c r="B568" s="27" t="str">
        <x:v>国防军工</x:v>
      </x:c>
      <x:c r="C568" s="27" t="n">
        <x:v>27</x:v>
      </x:c>
      <x:c r="D568" s="27" t="str">
        <x:v>1020006645</x:v>
      </x:c>
      <x:c r="E568" s="28" t="str">
        <x:v>工业企业:存货:铁路、船舶、航空航天和其他运输设备制造业:累计值</x:v>
      </x:c>
      <x:c r="F568" s="28" t="str">
        <x:v>Inventory: Railway, Ship, Aerospace and Other Transportation Equipment Manufacturing Industry: Cumulative Value</x:v>
      </x:c>
      <x:c r="G568" s="27" t="str">
        <x:v>月</x:v>
      </x:c>
      <x:c r="H568" s="27" t="str">
        <x:v>亿元</x:v>
      </x:c>
      <x:c r="I568" s="27" t="str">
        <x:v>累计值</x:v>
      </x:c>
      <x:c r="J568" s="27" t="str">
        <x:v>全国</x:v>
      </x:c>
      <x:c r="K568" s="27" t="str">
        <x:v>中国</x:v>
      </x:c>
      <x:c r="L568" s="28" t="str">
        <x:v>国家统计局</x:v>
      </x:c>
      <x:c r="M568" s="28" t="str">
        <x:v>getEcoDataChina</x:v>
      </x:c>
      <x:c r="N568" s="27" t="str">
        <x:v>2011-02-28</x:v>
      </x:c>
      <x:c r="O568" s="27" t="str">
        <x:v>2026-06-30</x:v>
      </x:c>
      <x:c r="P568" s="27" t="str">
        <x:v>持续更新</x:v>
      </x:c>
      <x:c r="Q568" s="27" t="str"/>
      <x:c r="R568" s="28" t="str"/>
    </x:row>
    <x:row r="569" ht="48" customHeight="1">
      <x:c r="A569" s="27" t="str">
        <x:v>801740</x:v>
      </x:c>
      <x:c r="B569" s="27" t="str">
        <x:v>国防军工</x:v>
      </x:c>
      <x:c r="C569" s="27" t="n">
        <x:v>28</x:v>
      </x:c>
      <x:c r="D569" s="27" t="str">
        <x:v>1020006519</x:v>
      </x:c>
      <x:c r="E569" s="28" t="str">
        <x:v>工业企业:应收账款:铁路、船舶、航空航天和其他运输设备制造业:累计值</x:v>
      </x:c>
      <x:c r="F569" s="28" t="str">
        <x:v>Accounts Receivable: Railway, Ship, Aerospace and Other Transportation Equipment Manufacturing Industry: Cumulative Value</x:v>
      </x:c>
      <x:c r="G569" s="27" t="str">
        <x:v>月</x:v>
      </x:c>
      <x:c r="H569" s="27" t="str">
        <x:v>亿元</x:v>
      </x:c>
      <x:c r="I569" s="27" t="str">
        <x:v>累计值</x:v>
      </x:c>
      <x:c r="J569" s="27" t="str">
        <x:v>全国</x:v>
      </x:c>
      <x:c r="K569" s="27" t="str">
        <x:v>中国</x:v>
      </x:c>
      <x:c r="L569" s="28" t="str">
        <x:v>国家统计局</x:v>
      </x:c>
      <x:c r="M569" s="28" t="str">
        <x:v>getEcoDataChina</x:v>
      </x:c>
      <x:c r="N569" s="27" t="str">
        <x:v>2000-02-29</x:v>
      </x:c>
      <x:c r="O569" s="27" t="str">
        <x:v>2026-06-30</x:v>
      </x:c>
      <x:c r="P569" s="27" t="str">
        <x:v>持续更新</x:v>
      </x:c>
      <x:c r="Q569" s="27" t="str"/>
      <x:c r="R569" s="28" t="str"/>
    </x:row>
    <x:row r="570" ht="48" customHeight="1">
      <x:c r="A570" s="27" t="str">
        <x:v>801740</x:v>
      </x:c>
      <x:c r="B570" s="27" t="str">
        <x:v>国防军工</x:v>
      </x:c>
      <x:c r="C570" s="27" t="n">
        <x:v>29</x:v>
      </x:c>
      <x:c r="D570" s="27" t="str">
        <x:v>1020006393</x:v>
      </x:c>
      <x:c r="E570" s="28" t="str">
        <x:v>工业企业:流动资产合计:铁路、船舶、航空航天和其他运输设备制造业:累计值</x:v>
      </x:c>
      <x:c r="F570" s="28" t="str">
        <x:v>Total Current Assets: Railway, Ship, Aerospace and Other Transportation Equipment Manufacturing Industry: Cumulative Value</x:v>
      </x:c>
      <x:c r="G570" s="27" t="str">
        <x:v>月</x:v>
      </x:c>
      <x:c r="H570" s="27" t="str">
        <x:v>亿元</x:v>
      </x:c>
      <x:c r="I570" s="27" t="str">
        <x:v>累计值</x:v>
      </x:c>
      <x:c r="J570" s="27" t="str">
        <x:v>全国</x:v>
      </x:c>
      <x:c r="K570" s="27" t="str">
        <x:v>中国</x:v>
      </x:c>
      <x:c r="L570" s="28" t="str">
        <x:v>国家统计局</x:v>
      </x:c>
      <x:c r="M570" s="28" t="str">
        <x:v>getEcoDataChina</x:v>
      </x:c>
      <x:c r="N570" s="27" t="str">
        <x:v>2011-02-28</x:v>
      </x:c>
      <x:c r="O570" s="27" t="str">
        <x:v>2026-06-30</x:v>
      </x:c>
      <x:c r="P570" s="27" t="str">
        <x:v>持续更新</x:v>
      </x:c>
      <x:c r="Q570" s="27" t="str"/>
      <x:c r="R570" s="28" t="str"/>
    </x:row>
    <x:row r="571" ht="48" customHeight="1">
      <x:c r="A571" s="27" t="str">
        <x:v>801740</x:v>
      </x:c>
      <x:c r="B571" s="27" t="str">
        <x:v>国防军工</x:v>
      </x:c>
      <x:c r="C571" s="27" t="n">
        <x:v>30</x:v>
      </x:c>
      <x:c r="D571" s="27" t="str">
        <x:v>1020007905</x:v>
      </x:c>
      <x:c r="E571" s="28" t="str">
        <x:v>工业企业:管理费用:铁路、船舶、航空航天和其他运输设备制造业:累计值</x:v>
      </x:c>
      <x:c r="F571" s="28" t="str">
        <x:v>Management Expenses: Railway, Ship, Aerospace and Other Transportation Equipment Manufacturing Industry: Cumulative Value</x:v>
      </x:c>
      <x:c r="G571" s="27" t="str">
        <x:v>月</x:v>
      </x:c>
      <x:c r="H571" s="27" t="str">
        <x:v>亿元</x:v>
      </x:c>
      <x:c r="I571" s="27" t="str">
        <x:v>累计值</x:v>
      </x:c>
      <x:c r="J571" s="27" t="str">
        <x:v>全国</x:v>
      </x:c>
      <x:c r="K571" s="27" t="str">
        <x:v>中国</x:v>
      </x:c>
      <x:c r="L571" s="28" t="str">
        <x:v>国家统计局</x:v>
      </x:c>
      <x:c r="M571" s="28" t="str">
        <x:v>getEcoDataChina</x:v>
      </x:c>
      <x:c r="N571" s="27" t="str">
        <x:v>2000-02-29</x:v>
      </x:c>
      <x:c r="O571" s="27" t="str">
        <x:v>2026-06-30</x:v>
      </x:c>
      <x:c r="P571" s="27" t="str">
        <x:v>持续更新</x:v>
      </x:c>
      <x:c r="Q571" s="27" t="str"/>
      <x:c r="R571" s="28" t="str"/>
    </x:row>
    <x:row r="572" ht="48" customHeight="1">
      <x:c r="A572" s="27" t="str">
        <x:v>801750</x:v>
      </x:c>
      <x:c r="B572" s="27" t="str">
        <x:v>计算机</x:v>
      </x:c>
      <x:c r="C572" s="27" t="n">
        <x:v>1</x:v>
      </x:c>
      <x:c r="D572" s="27" t="str">
        <x:v>1050000379</x:v>
      </x:c>
      <x:c r="E572" s="28" t="str">
        <x:v>固定资产投资完成额:信息传输、软件和信息技术服务业:累计同比</x:v>
      </x:c>
      <x:c r="F572" s="28" t="str">
        <x:v>Fixed Assets Investment Realized: Cumulative YoY: Information Transmission, Software and Information Technology Services</x:v>
      </x:c>
      <x:c r="G572" s="27" t="str">
        <x:v>月</x:v>
      </x:c>
      <x:c r="H572" s="27" t="str">
        <x:v>%</x:v>
      </x:c>
      <x:c r="I572" s="27" t="str">
        <x:v>累计同比</x:v>
      </x:c>
      <x:c r="J572" s="27" t="str">
        <x:v>全国</x:v>
      </x:c>
      <x:c r="K572" s="27" t="str">
        <x:v>中国</x:v>
      </x:c>
      <x:c r="L572" s="28" t="str">
        <x:v>国家统计局</x:v>
      </x:c>
      <x:c r="M572" s="28" t="str">
        <x:v>getEcoDataChina</x:v>
      </x:c>
      <x:c r="N572" s="27" t="str">
        <x:v>2004-02-29</x:v>
      </x:c>
      <x:c r="O572" s="27" t="str">
        <x:v>2026-06-30</x:v>
      </x:c>
      <x:c r="P572" s="27" t="str">
        <x:v>持续更新</x:v>
      </x:c>
      <x:c r="Q572" s="27" t="str"/>
      <x:c r="R572" s="28" t="str"/>
    </x:row>
    <x:row r="573" ht="48" customHeight="1">
      <x:c r="A573" s="27" t="str">
        <x:v>801750</x:v>
      </x:c>
      <x:c r="B573" s="27" t="str">
        <x:v>计算机</x:v>
      </x:c>
      <x:c r="C573" s="27" t="n">
        <x:v>2</x:v>
      </x:c>
      <x:c r="D573" s="27" t="str">
        <x:v>1040018939</x:v>
      </x:c>
      <x:c r="E573" s="28" t="str">
        <x:v>PPI:计算机制造业(上年同月=100)</x:v>
      </x:c>
      <x:c r="F573" s="28" t="str">
        <x:v>PPI: Computers Manufacturing (CYoY=100)</x:v>
      </x:c>
      <x:c r="G573" s="27" t="str">
        <x:v>月</x:v>
      </x:c>
      <x:c r="H573" s="27" t="str">
        <x:v>上年同月=100</x:v>
      </x:c>
      <x:c r="I573" s="27" t="str">
        <x:v>当期值</x:v>
      </x:c>
      <x:c r="J573" s="27" t="str">
        <x:v>全国</x:v>
      </x:c>
      <x:c r="K573" s="27" t="str">
        <x:v>中国</x:v>
      </x:c>
      <x:c r="L573" s="28" t="str">
        <x:v>国家统计局</x:v>
      </x:c>
      <x:c r="M573" s="28" t="str">
        <x:v>getEcoDataChina</x:v>
      </x:c>
      <x:c r="N573" s="27" t="str">
        <x:v>2014-01-31</x:v>
      </x:c>
      <x:c r="O573" s="27" t="str">
        <x:v>2026-06-30</x:v>
      </x:c>
      <x:c r="P573" s="27" t="str">
        <x:v>持续更新</x:v>
      </x:c>
      <x:c r="Q573" s="27" t="str"/>
      <x:c r="R573" s="28" t="str"/>
    </x:row>
    <x:row r="574" ht="48" customHeight="1">
      <x:c r="A574" s="27" t="str">
        <x:v>801750</x:v>
      </x:c>
      <x:c r="B574" s="27" t="str">
        <x:v>计算机</x:v>
      </x:c>
      <x:c r="C574" s="27" t="n">
        <x:v>3</x:v>
      </x:c>
      <x:c r="D574" s="27" t="str">
        <x:v>1010012052</x:v>
      </x:c>
      <x:c r="E574" s="28" t="str">
        <x:v>GDP:不变价:信息传输、软件和信息技术服务业:当季同比</x:v>
      </x:c>
      <x:c r="F574" s="28" t="str">
        <x:v>GDP: at Constant Price: Information Transmission, Software and Information Technology Services: Current Quarter YoY</x:v>
      </x:c>
      <x:c r="G574" s="27" t="str">
        <x:v>季</x:v>
      </x:c>
      <x:c r="H574" s="27" t="str">
        <x:v>%</x:v>
      </x:c>
      <x:c r="I574" s="27" t="str">
        <x:v>当期同比</x:v>
      </x:c>
      <x:c r="J574" s="27" t="str">
        <x:v>全国</x:v>
      </x:c>
      <x:c r="K574" s="27" t="str">
        <x:v>中国</x:v>
      </x:c>
      <x:c r="L574" s="28" t="str">
        <x:v>国家统计局</x:v>
      </x:c>
      <x:c r="M574" s="28" t="str">
        <x:v>getEcoDataChina</x:v>
      </x:c>
      <x:c r="N574" s="27" t="str">
        <x:v>2015-03-31</x:v>
      </x:c>
      <x:c r="O574" s="27" t="str">
        <x:v>2026-06-30</x:v>
      </x:c>
      <x:c r="P574" s="27" t="str">
        <x:v>持续更新</x:v>
      </x:c>
      <x:c r="Q574" s="27" t="str"/>
      <x:c r="R574" s="28" t="str"/>
    </x:row>
    <x:row r="575" ht="48" customHeight="1">
      <x:c r="A575" s="27" t="str">
        <x:v>801750</x:v>
      </x:c>
      <x:c r="B575" s="27" t="str">
        <x:v>计算机</x:v>
      </x:c>
      <x:c r="C575" s="27" t="n">
        <x:v>4</x:v>
      </x:c>
      <x:c r="D575" s="27" t="str">
        <x:v>1010012056</x:v>
      </x:c>
      <x:c r="E575" s="28" t="str">
        <x:v>GDP:不变价:信息传输、软件和信息技术服务业:累计同比</x:v>
      </x:c>
      <x:c r="F575" s="28" t="str">
        <x:v>GDP: at Constant Price: Information Transmission, Software and Information Technology Services: Cumulative YoY</x:v>
      </x:c>
      <x:c r="G575" s="27" t="str">
        <x:v>季</x:v>
      </x:c>
      <x:c r="H575" s="27" t="str">
        <x:v>%</x:v>
      </x:c>
      <x:c r="I575" s="27" t="str">
        <x:v>累计同比</x:v>
      </x:c>
      <x:c r="J575" s="27" t="str">
        <x:v>全国</x:v>
      </x:c>
      <x:c r="K575" s="27" t="str">
        <x:v>中国</x:v>
      </x:c>
      <x:c r="L575" s="28" t="str">
        <x:v>国家统计局</x:v>
      </x:c>
      <x:c r="M575" s="28" t="str">
        <x:v>getEcoDataChina</x:v>
      </x:c>
      <x:c r="N575" s="27" t="str">
        <x:v>2015-03-31</x:v>
      </x:c>
      <x:c r="O575" s="27" t="str">
        <x:v>2026-06-30</x:v>
      </x:c>
      <x:c r="P575" s="27" t="str">
        <x:v>持续更新</x:v>
      </x:c>
      <x:c r="Q575" s="27" t="str"/>
      <x:c r="R575" s="28" t="str"/>
    </x:row>
    <x:row r="576" ht="48" customHeight="1">
      <x:c r="A576" s="27" t="str">
        <x:v>801750</x:v>
      </x:c>
      <x:c r="B576" s="27" t="str">
        <x:v>计算机</x:v>
      </x:c>
      <x:c r="C576" s="27" t="n">
        <x:v>5</x:v>
      </x:c>
      <x:c r="D576" s="27" t="str">
        <x:v>1010012050</x:v>
      </x:c>
      <x:c r="E576" s="28" t="str">
        <x:v>GDP:现价:信息传输、软件和信息技术服务业:当季值</x:v>
      </x:c>
      <x:c r="F576" s="28" t="str">
        <x:v>GDP: at Current Price: Information Transmission, Software and Information Technology Services: Current Quarter Value</x:v>
      </x:c>
      <x:c r="G576" s="27" t="str">
        <x:v>季</x:v>
      </x:c>
      <x:c r="H576" s="27" t="str">
        <x:v>亿元</x:v>
      </x:c>
      <x:c r="I576" s="27" t="str">
        <x:v>当期值</x:v>
      </x:c>
      <x:c r="J576" s="27" t="str">
        <x:v>全国</x:v>
      </x:c>
      <x:c r="K576" s="27" t="str">
        <x:v>中国</x:v>
      </x:c>
      <x:c r="L576" s="28" t="str">
        <x:v>国家统计局</x:v>
      </x:c>
      <x:c r="M576" s="28" t="str">
        <x:v>getEcoDataChina</x:v>
      </x:c>
      <x:c r="N576" s="27" t="str">
        <x:v>2015-03-31</x:v>
      </x:c>
      <x:c r="O576" s="27" t="str">
        <x:v>2026-06-30</x:v>
      </x:c>
      <x:c r="P576" s="27" t="str">
        <x:v>持续更新</x:v>
      </x:c>
      <x:c r="Q576" s="27" t="str"/>
      <x:c r="R576" s="28" t="str"/>
    </x:row>
    <x:row r="577" ht="48" customHeight="1">
      <x:c r="A577" s="27" t="str">
        <x:v>801750</x:v>
      </x:c>
      <x:c r="B577" s="27" t="str">
        <x:v>计算机</x:v>
      </x:c>
      <x:c r="C577" s="27" t="n">
        <x:v>6</x:v>
      </x:c>
      <x:c r="D577" s="27" t="str">
        <x:v>1010012054</x:v>
      </x:c>
      <x:c r="E577" s="28" t="str">
        <x:v>GDP:现价:信息传输、软件和信息技术服务业:累计值</x:v>
      </x:c>
      <x:c r="F577" s="28" t="str">
        <x:v>GDP: at Current Price: Information Transmission, Software and Information Technology Services: Cumulative Value</x:v>
      </x:c>
      <x:c r="G577" s="27" t="str">
        <x:v>季</x:v>
      </x:c>
      <x:c r="H577" s="27" t="str">
        <x:v>亿元</x:v>
      </x:c>
      <x:c r="I577" s="27" t="str">
        <x:v>累计值</x:v>
      </x:c>
      <x:c r="J577" s="27" t="str">
        <x:v>全国</x:v>
      </x:c>
      <x:c r="K577" s="27" t="str">
        <x:v>中国</x:v>
      </x:c>
      <x:c r="L577" s="28" t="str">
        <x:v>国家统计局</x:v>
      </x:c>
      <x:c r="M577" s="28" t="str">
        <x:v>getEcoDataChina</x:v>
      </x:c>
      <x:c r="N577" s="27" t="str">
        <x:v>2015-03-31</x:v>
      </x:c>
      <x:c r="O577" s="27" t="str">
        <x:v>2026-06-30</x:v>
      </x:c>
      <x:c r="P577" s="27" t="str">
        <x:v>持续更新</x:v>
      </x:c>
      <x:c r="Q577" s="27" t="str"/>
      <x:c r="R577" s="28" t="str"/>
    </x:row>
    <x:row r="578" ht="48" customHeight="1">
      <x:c r="A578" s="27" t="str">
        <x:v>801750</x:v>
      </x:c>
      <x:c r="B578" s="27" t="str">
        <x:v>计算机</x:v>
      </x:c>
      <x:c r="C578" s="27" t="n">
        <x:v>7</x:v>
      </x:c>
      <x:c r="D578" s="27" t="str">
        <x:v>1010017940</x:v>
      </x:c>
      <x:c r="E578" s="28" t="str">
        <x:v>GDP:现价:初步核算数:信息传输、软件和信息技术服务业:当季值</x:v>
      </x:c>
      <x:c r="F578" s="28" t="str">
        <x:v>GDP: at Current Price: Preliminary Accounting Results: Information Transmission, Software and Information Technology Services: Current Quarter Value</x:v>
      </x:c>
      <x:c r="G578" s="27" t="str">
        <x:v>季</x:v>
      </x:c>
      <x:c r="H578" s="27" t="str">
        <x:v>亿元</x:v>
      </x:c>
      <x:c r="I578" s="27" t="str">
        <x:v>初值</x:v>
      </x:c>
      <x:c r="J578" s="27" t="str">
        <x:v>全国</x:v>
      </x:c>
      <x:c r="K578" s="27" t="str">
        <x:v>中国</x:v>
      </x:c>
      <x:c r="L578" s="28" t="str">
        <x:v>国家统计局</x:v>
      </x:c>
      <x:c r="M578" s="28" t="str">
        <x:v>getEcoDataChina</x:v>
      </x:c>
      <x:c r="N578" s="27" t="str">
        <x:v>2017-03-31</x:v>
      </x:c>
      <x:c r="O578" s="27" t="str">
        <x:v>2026-06-30</x:v>
      </x:c>
      <x:c r="P578" s="27" t="str">
        <x:v>持续更新</x:v>
      </x:c>
      <x:c r="Q578" s="27" t="str"/>
      <x:c r="R578" s="28" t="str"/>
    </x:row>
    <x:row r="579" ht="48" customHeight="1">
      <x:c r="A579" s="27" t="str">
        <x:v>801750</x:v>
      </x:c>
      <x:c r="B579" s="27" t="str">
        <x:v>计算机</x:v>
      </x:c>
      <x:c r="C579" s="27" t="n">
        <x:v>8</x:v>
      </x:c>
      <x:c r="D579" s="27" t="str">
        <x:v>1010017967</x:v>
      </x:c>
      <x:c r="E579" s="28" t="str">
        <x:v>GDP:现价:初步核算数:信息传输、软件和信息技术服务业:累计值</x:v>
      </x:c>
      <x:c r="F579" s="28" t="str">
        <x:v>GDP: at Current Price: Preliminary Accounting Results: Information Transmission, Software and Information Technology Services: Cumulative Value</x:v>
      </x:c>
      <x:c r="G579" s="27" t="str">
        <x:v>季</x:v>
      </x:c>
      <x:c r="H579" s="27" t="str">
        <x:v>亿元</x:v>
      </x:c>
      <x:c r="I579" s="27" t="str">
        <x:v>累计值(初值)</x:v>
      </x:c>
      <x:c r="J579" s="27" t="str">
        <x:v>全国</x:v>
      </x:c>
      <x:c r="K579" s="27" t="str">
        <x:v>中国</x:v>
      </x:c>
      <x:c r="L579" s="28" t="str">
        <x:v>国家统计局</x:v>
      </x:c>
      <x:c r="M579" s="28" t="str">
        <x:v>getEcoDataChina</x:v>
      </x:c>
      <x:c r="N579" s="27" t="str">
        <x:v>2017-03-31</x:v>
      </x:c>
      <x:c r="O579" s="27" t="str">
        <x:v>2026-06-30</x:v>
      </x:c>
      <x:c r="P579" s="27" t="str">
        <x:v>持续更新</x:v>
      </x:c>
      <x:c r="Q579" s="27" t="str"/>
      <x:c r="R579" s="28" t="str"/>
    </x:row>
    <x:row r="580" ht="48" customHeight="1">
      <x:c r="A580" s="27" t="str">
        <x:v>801750</x:v>
      </x:c>
      <x:c r="B580" s="27" t="str">
        <x:v>计算机</x:v>
      </x:c>
      <x:c r="C580" s="27" t="n">
        <x:v>9</x:v>
      </x:c>
      <x:c r="D580" s="27" t="str">
        <x:v>1010014359</x:v>
      </x:c>
      <x:c r="E580" s="28" t="str">
        <x:v>GDP平减指数:信息传输、软件和信息技术服务业:当季同比</x:v>
      </x:c>
      <x:c r="F580" s="28" t="str">
        <x:v>GDP Deflators Index: Information Transmission, Software and Information Technology Services: Current Quarter YoY</x:v>
      </x:c>
      <x:c r="G580" s="27" t="str">
        <x:v>季</x:v>
      </x:c>
      <x:c r="H580" s="27" t="str">
        <x:v>%</x:v>
      </x:c>
      <x:c r="I580" s="27" t="str">
        <x:v>当期同比</x:v>
      </x:c>
      <x:c r="J580" s="27" t="str">
        <x:v>全国</x:v>
      </x:c>
      <x:c r="K580" s="27" t="str">
        <x:v>中国</x:v>
      </x:c>
      <x:c r="L580" s="28" t="str">
        <x:v>Datayes!</x:v>
      </x:c>
      <x:c r="M580" s="28" t="str">
        <x:v>getEcoDataChina</x:v>
      </x:c>
      <x:c r="N580" s="27" t="str">
        <x:v>2016-03-31</x:v>
      </x:c>
      <x:c r="O580" s="27" t="str">
        <x:v>2026-06-30</x:v>
      </x:c>
      <x:c r="P580" s="27" t="str">
        <x:v>持续更新</x:v>
      </x:c>
      <x:c r="Q580" s="27" t="str"/>
      <x:c r="R580" s="28" t="str"/>
    </x:row>
    <x:row r="581" ht="48" customHeight="1">
      <x:c r="A581" s="27" t="str">
        <x:v>801750</x:v>
      </x:c>
      <x:c r="B581" s="27" t="str">
        <x:v>计算机</x:v>
      </x:c>
      <x:c r="C581" s="27" t="n">
        <x:v>10</x:v>
      </x:c>
      <x:c r="D581" s="27" t="str">
        <x:v>1010014347</x:v>
      </x:c>
      <x:c r="E581" s="28" t="str">
        <x:v>GDP平减指数:信息传输、软件和信息技术服务业:累计同比</x:v>
      </x:c>
      <x:c r="F581" s="28" t="str">
        <x:v>GDP Deflators Index: Information Transmission, Software and Information Technology Services: Cumulative YoY</x:v>
      </x:c>
      <x:c r="G581" s="27" t="str">
        <x:v>季</x:v>
      </x:c>
      <x:c r="H581" s="27" t="str">
        <x:v>%</x:v>
      </x:c>
      <x:c r="I581" s="27" t="str">
        <x:v>累计同比</x:v>
      </x:c>
      <x:c r="J581" s="27" t="str">
        <x:v>全国</x:v>
      </x:c>
      <x:c r="K581" s="27" t="str">
        <x:v>中国</x:v>
      </x:c>
      <x:c r="L581" s="28" t="str">
        <x:v>Datayes!</x:v>
      </x:c>
      <x:c r="M581" s="28" t="str">
        <x:v>getEcoDataChina</x:v>
      </x:c>
      <x:c r="N581" s="27" t="str">
        <x:v>2016-03-31</x:v>
      </x:c>
      <x:c r="O581" s="27" t="str">
        <x:v>2026-06-30</x:v>
      </x:c>
      <x:c r="P581" s="27" t="str">
        <x:v>持续更新</x:v>
      </x:c>
      <x:c r="Q581" s="27" t="str"/>
      <x:c r="R581" s="28" t="str"/>
    </x:row>
    <x:row r="582" ht="48" customHeight="1">
      <x:c r="A582" s="27" t="str">
        <x:v>801750</x:v>
      </x:c>
      <x:c r="B582" s="27" t="str">
        <x:v>计算机</x:v>
      </x:c>
      <x:c r="C582" s="27" t="n">
        <x:v>11</x:v>
      </x:c>
      <x:c r="D582" s="27" t="str">
        <x:v>1010014286</x:v>
      </x:c>
      <x:c r="E582" s="28" t="str">
        <x:v>GDP指数:信息传输、软件和信息技术服务业:当季值</x:v>
      </x:c>
      <x:c r="F582" s="28" t="str">
        <x:v>Indices of GDP: Information Transmission, Software and Information Technology Services: Current Quarter Value</x:v>
      </x:c>
      <x:c r="G582" s="27" t="str">
        <x:v>季</x:v>
      </x:c>
      <x:c r="H582" s="27" t="str">
        <x:v>上年同期=100</x:v>
      </x:c>
      <x:c r="I582" s="27" t="str">
        <x:v>当期同比</x:v>
      </x:c>
      <x:c r="J582" s="27" t="str">
        <x:v>全国</x:v>
      </x:c>
      <x:c r="K582" s="27" t="str">
        <x:v>中国</x:v>
      </x:c>
      <x:c r="L582" s="28" t="str">
        <x:v>国家统计局</x:v>
      </x:c>
      <x:c r="M582" s="28" t="str">
        <x:v>getEcoDataChina</x:v>
      </x:c>
      <x:c r="N582" s="27" t="str">
        <x:v>2015-03-31</x:v>
      </x:c>
      <x:c r="O582" s="27" t="str">
        <x:v>2026-06-30</x:v>
      </x:c>
      <x:c r="P582" s="27" t="str">
        <x:v>持续更新</x:v>
      </x:c>
      <x:c r="Q582" s="27" t="str"/>
      <x:c r="R582" s="28" t="str"/>
    </x:row>
    <x:row r="583" ht="48" customHeight="1">
      <x:c r="A583" s="27" t="str">
        <x:v>801750</x:v>
      </x:c>
      <x:c r="B583" s="27" t="str">
        <x:v>计算机</x:v>
      </x:c>
      <x:c r="C583" s="27" t="n">
        <x:v>12</x:v>
      </x:c>
      <x:c r="D583" s="27" t="str">
        <x:v>1010014302</x:v>
      </x:c>
      <x:c r="E583" s="28" t="str">
        <x:v>GDP指数:信息传输、软件和信息技术服务业:累计值</x:v>
      </x:c>
      <x:c r="F583" s="28" t="str">
        <x:v>Indices of GDP: Information Transmission, Software and Information Technology Services: Cumulative Value</x:v>
      </x:c>
      <x:c r="G583" s="27" t="str">
        <x:v>季</x:v>
      </x:c>
      <x:c r="H583" s="27" t="str">
        <x:v>上年同期=100</x:v>
      </x:c>
      <x:c r="I583" s="27" t="str">
        <x:v>累计同比</x:v>
      </x:c>
      <x:c r="J583" s="27" t="str">
        <x:v>全国</x:v>
      </x:c>
      <x:c r="K583" s="27" t="str">
        <x:v>中国</x:v>
      </x:c>
      <x:c r="L583" s="28" t="str">
        <x:v>国家统计局</x:v>
      </x:c>
      <x:c r="M583" s="28" t="str">
        <x:v>getEcoDataChina</x:v>
      </x:c>
      <x:c r="N583" s="27" t="str">
        <x:v>2015-03-31</x:v>
      </x:c>
      <x:c r="O583" s="27" t="str">
        <x:v>2026-06-30</x:v>
      </x:c>
      <x:c r="P583" s="27" t="str">
        <x:v>持续更新</x:v>
      </x:c>
      <x:c r="Q583" s="27" t="str"/>
      <x:c r="R583" s="28" t="str"/>
    </x:row>
    <x:row r="584" ht="48" customHeight="1">
      <x:c r="A584" s="27" t="str">
        <x:v>801750</x:v>
      </x:c>
      <x:c r="B584" s="27" t="str">
        <x:v>计算机</x:v>
      </x:c>
      <x:c r="C584" s="27" t="n">
        <x:v>13</x:v>
      </x:c>
      <x:c r="D584" s="27" t="str">
        <x:v>1010012058</x:v>
      </x:c>
      <x:c r="E584" s="28" t="str">
        <x:v>GDP累计同比贡献率:信息传输、软件和信息技术服务业</x:v>
      </x:c>
      <x:c r="F584" s="28" t="str">
        <x:v>Share of the Contributions to the Increase of the Accumulated GDP: Information Transmission, Software and Information Technology Services</x:v>
      </x:c>
      <x:c r="G584" s="27" t="str">
        <x:v>季</x:v>
      </x:c>
      <x:c r="H584" s="27" t="str">
        <x:v>%</x:v>
      </x:c>
      <x:c r="I584" s="27" t="str">
        <x:v>当期值</x:v>
      </x:c>
      <x:c r="J584" s="27" t="str">
        <x:v>全国</x:v>
      </x:c>
      <x:c r="K584" s="27" t="str">
        <x:v>中国</x:v>
      </x:c>
      <x:c r="L584" s="28" t="str">
        <x:v>Datayes!</x:v>
      </x:c>
      <x:c r="M584" s="28" t="str">
        <x:v>getEcoDataChina</x:v>
      </x:c>
      <x:c r="N584" s="27" t="str">
        <x:v>2016-03-31</x:v>
      </x:c>
      <x:c r="O584" s="27" t="str">
        <x:v>2026-06-30</x:v>
      </x:c>
      <x:c r="P584" s="27" t="str">
        <x:v>持续更新</x:v>
      </x:c>
      <x:c r="Q584" s="27" t="str"/>
      <x:c r="R584" s="28" t="str"/>
    </x:row>
    <x:row r="585" ht="48" customHeight="1">
      <x:c r="A585" s="27" t="str">
        <x:v>801750</x:v>
      </x:c>
      <x:c r="B585" s="27" t="str">
        <x:v>计算机</x:v>
      </x:c>
      <x:c r="C585" s="27" t="n">
        <x:v>14</x:v>
      </x:c>
      <x:c r="D585" s="27" t="str">
        <x:v>1030000129</x:v>
      </x:c>
      <x:c r="E585" s="28" t="str">
        <x:v>企业景气指数:信息传输、软件和信息技术服务业</x:v>
      </x:c>
      <x:c r="F585" s="28" t="str">
        <x:v>Corporate Boom Index: InformationTransmission、Softwareand Information Technology Services Industry</x:v>
      </x:c>
      <x:c r="G585" s="27" t="str">
        <x:v>季</x:v>
      </x:c>
      <x:c r="H585" s="27" t="str">
        <x:v>%</x:v>
      </x:c>
      <x:c r="I585" s="27" t="str">
        <x:v>当期值</x:v>
      </x:c>
      <x:c r="J585" s="27" t="str">
        <x:v>全国</x:v>
      </x:c>
      <x:c r="K585" s="27" t="str">
        <x:v>中国</x:v>
      </x:c>
      <x:c r="L585" s="28" t="str">
        <x:v>国家统计局</x:v>
      </x:c>
      <x:c r="M585" s="28" t="str">
        <x:v>getEcoDataChina</x:v>
      </x:c>
      <x:c r="N585" s="27" t="str">
        <x:v>2002-03-31</x:v>
      </x:c>
      <x:c r="O585" s="27" t="str">
        <x:v>2026-06-30</x:v>
      </x:c>
      <x:c r="P585" s="27" t="str">
        <x:v>持续更新</x:v>
      </x:c>
      <x:c r="Q585" s="27" t="str"/>
      <x:c r="R585" s="28" t="str"/>
    </x:row>
    <x:row r="586" ht="48" customHeight="1">
      <x:c r="A586" s="27" t="str">
        <x:v>801750</x:v>
      </x:c>
      <x:c r="B586" s="27" t="str">
        <x:v>计算机</x:v>
      </x:c>
      <x:c r="C586" s="27" t="n">
        <x:v>15</x:v>
      </x:c>
      <x:c r="D586" s="27" t="str">
        <x:v>1030000476</x:v>
      </x:c>
      <x:c r="E586" s="28" t="str">
        <x:v>企业景气指数:即期指数:信息传输、软件和信息技术服务业</x:v>
      </x:c>
      <x:c r="F586" s="28" t="str">
        <x:v>Business Climate Index: Current: Information Transmission, Computer Service And Software Service</x:v>
      </x:c>
      <x:c r="G586" s="27" t="str">
        <x:v>季</x:v>
      </x:c>
      <x:c r="H586" s="27" t="str">
        <x:v>%</x:v>
      </x:c>
      <x:c r="I586" s="27" t="str">
        <x:v>当期值</x:v>
      </x:c>
      <x:c r="J586" s="27" t="str">
        <x:v>全国</x:v>
      </x:c>
      <x:c r="K586" s="27" t="str">
        <x:v>中国</x:v>
      </x:c>
      <x:c r="L586" s="28" t="str">
        <x:v>国家统计局</x:v>
      </x:c>
      <x:c r="M586" s="28" t="str">
        <x:v>getEcoDataChina</x:v>
      </x:c>
      <x:c r="N586" s="27" t="str">
        <x:v>2012-03-31</x:v>
      </x:c>
      <x:c r="O586" s="27" t="str">
        <x:v>2026-06-30</x:v>
      </x:c>
      <x:c r="P586" s="27" t="str">
        <x:v>持续更新</x:v>
      </x:c>
      <x:c r="Q586" s="27" t="str"/>
      <x:c r="R586" s="28" t="str"/>
    </x:row>
    <x:row r="587" ht="48" customHeight="1">
      <x:c r="A587" s="27" t="str">
        <x:v>801750</x:v>
      </x:c>
      <x:c r="B587" s="27" t="str">
        <x:v>计算机</x:v>
      </x:c>
      <x:c r="C587" s="27" t="n">
        <x:v>16</x:v>
      </x:c>
      <x:c r="D587" s="27" t="str">
        <x:v>1030000536</x:v>
      </x:c>
      <x:c r="E587" s="28" t="str">
        <x:v>企业景气指数:预期指数:信息传输、软件和信息技术服务业</x:v>
      </x:c>
      <x:c r="F587" s="28" t="str">
        <x:v>Business Climate Index: Expectation: Information Transmission, Computer Service And Software Service</x:v>
      </x:c>
      <x:c r="G587" s="27" t="str">
        <x:v>季</x:v>
      </x:c>
      <x:c r="H587" s="27" t="str">
        <x:v>%</x:v>
      </x:c>
      <x:c r="I587" s="27" t="str">
        <x:v>当期值</x:v>
      </x:c>
      <x:c r="J587" s="27" t="str">
        <x:v>全国</x:v>
      </x:c>
      <x:c r="K587" s="27" t="str">
        <x:v>中国</x:v>
      </x:c>
      <x:c r="L587" s="28" t="str">
        <x:v>国家统计局</x:v>
      </x:c>
      <x:c r="M587" s="28" t="str">
        <x:v>getEcoDataChina</x:v>
      </x:c>
      <x:c r="N587" s="27" t="str">
        <x:v>2012-03-31</x:v>
      </x:c>
      <x:c r="O587" s="27" t="str">
        <x:v>2026-06-30</x:v>
      </x:c>
      <x:c r="P587" s="27" t="str">
        <x:v>持续更新</x:v>
      </x:c>
      <x:c r="Q587" s="27" t="str"/>
      <x:c r="R587" s="28" t="str"/>
    </x:row>
    <x:row r="588" ht="48" customHeight="1">
      <x:c r="A588" s="27" t="str">
        <x:v>801750</x:v>
      </x:c>
      <x:c r="B588" s="27" t="str">
        <x:v>计算机</x:v>
      </x:c>
      <x:c r="C588" s="27" t="n">
        <x:v>17</x:v>
      </x:c>
      <x:c r="D588" s="27" t="str">
        <x:v>1010012060</x:v>
      </x:c>
      <x:c r="E588" s="28" t="str">
        <x:v>对GDP累计同比的拉动:信息传输、软件和信息技术服务业</x:v>
      </x:c>
      <x:c r="F588" s="28" t="str">
        <x:v>Contribution to the Accumulated GDP Growth: Information Transmission, Software and Information Technology Services</x:v>
      </x:c>
      <x:c r="G588" s="27" t="str">
        <x:v>季</x:v>
      </x:c>
      <x:c r="H588" s="27" t="str">
        <x:v>百分点</x:v>
      </x:c>
      <x:c r="I588" s="27" t="str">
        <x:v>当期值</x:v>
      </x:c>
      <x:c r="J588" s="27" t="str">
        <x:v>全国</x:v>
      </x:c>
      <x:c r="K588" s="27" t="str">
        <x:v>中国</x:v>
      </x:c>
      <x:c r="L588" s="28" t="str">
        <x:v>Datayes!</x:v>
      </x:c>
      <x:c r="M588" s="28" t="str">
        <x:v>getEcoDataChina</x:v>
      </x:c>
      <x:c r="N588" s="27" t="str">
        <x:v>2016-03-31</x:v>
      </x:c>
      <x:c r="O588" s="27" t="str">
        <x:v>2026-06-30</x:v>
      </x:c>
      <x:c r="P588" s="27" t="str">
        <x:v>持续更新</x:v>
      </x:c>
      <x:c r="Q588" s="27" t="str"/>
      <x:c r="R588" s="28" t="str"/>
    </x:row>
    <x:row r="589" ht="48" customHeight="1">
      <x:c r="A589" s="27" t="str">
        <x:v>801750</x:v>
      </x:c>
      <x:c r="B589" s="27" t="str">
        <x:v>计算机</x:v>
      </x:c>
      <x:c r="C589" s="27" t="n">
        <x:v>18</x:v>
      </x:c>
      <x:c r="D589" s="27" t="str">
        <x:v>1010011709</x:v>
      </x:c>
      <x:c r="E589" s="28" t="str">
        <x:v>经常账户(SDR):货物和服务:服务:电信、计算机和信息服务:借方</x:v>
      </x:c>
      <x:c r="F589" s="28" t="str">
        <x:v>Current Account (SDR): Goods and Services: Services: Telecommunication and Computerand Information Services: Debit</x:v>
      </x:c>
      <x:c r="G589" s="27" t="str">
        <x:v>季</x:v>
      </x:c>
      <x:c r="H589" s="27" t="str">
        <x:v>亿SDR</x:v>
      </x:c>
      <x:c r="I589" s="27" t="str">
        <x:v>期末值</x:v>
      </x:c>
      <x:c r="J589" s="27" t="str">
        <x:v>全国</x:v>
      </x:c>
      <x:c r="K589" s="27" t="str">
        <x:v>中国</x:v>
      </x:c>
      <x:c r="L589" s="28" t="str">
        <x:v>国家外汇管理局</x:v>
      </x:c>
      <x:c r="M589" s="28" t="str">
        <x:v>getEcoDataChina</x:v>
      </x:c>
      <x:c r="N589" s="27" t="str">
        <x:v>2016-03-31</x:v>
      </x:c>
      <x:c r="O589" s="27" t="str">
        <x:v>2026-03-31</x:v>
      </x:c>
      <x:c r="P589" s="27" t="str">
        <x:v>持续更新</x:v>
      </x:c>
      <x:c r="Q589" s="27" t="str"/>
      <x:c r="R589" s="28" t="str"/>
    </x:row>
    <x:row r="590" ht="48" customHeight="1">
      <x:c r="A590" s="27" t="str">
        <x:v>801750</x:v>
      </x:c>
      <x:c r="B590" s="27" t="str">
        <x:v>计算机</x:v>
      </x:c>
      <x:c r="C590" s="27" t="n">
        <x:v>19</x:v>
      </x:c>
      <x:c r="D590" s="27" t="str">
        <x:v>1010011707</x:v>
      </x:c>
      <x:c r="E590" s="28" t="str">
        <x:v>经常账户(SDR):货物和服务:服务:电信、计算机和信息服务:差额</x:v>
      </x:c>
      <x:c r="F590" s="28" t="str">
        <x:v>Current Account (SDR): Goods and Services: Services: Telecommunication and Computerand Information Services: Balance</x:v>
      </x:c>
      <x:c r="G590" s="27" t="str">
        <x:v>季</x:v>
      </x:c>
      <x:c r="H590" s="27" t="str">
        <x:v>亿SDR</x:v>
      </x:c>
      <x:c r="I590" s="27" t="str">
        <x:v>期末值</x:v>
      </x:c>
      <x:c r="J590" s="27" t="str">
        <x:v>全国</x:v>
      </x:c>
      <x:c r="K590" s="27" t="str">
        <x:v>中国</x:v>
      </x:c>
      <x:c r="L590" s="28" t="str">
        <x:v>国家外汇管理局</x:v>
      </x:c>
      <x:c r="M590" s="28" t="str">
        <x:v>getEcoDataChina</x:v>
      </x:c>
      <x:c r="N590" s="27" t="str">
        <x:v>2016-03-31</x:v>
      </x:c>
      <x:c r="O590" s="27" t="str">
        <x:v>2026-03-31</x:v>
      </x:c>
      <x:c r="P590" s="27" t="str">
        <x:v>持续更新</x:v>
      </x:c>
      <x:c r="Q590" s="27" t="str"/>
      <x:c r="R590" s="28" t="str"/>
    </x:row>
    <x:row r="591" ht="48" customHeight="1">
      <x:c r="A591" s="27" t="str">
        <x:v>801750</x:v>
      </x:c>
      <x:c r="B591" s="27" t="str">
        <x:v>计算机</x:v>
      </x:c>
      <x:c r="C591" s="27" t="n">
        <x:v>20</x:v>
      </x:c>
      <x:c r="D591" s="27" t="str">
        <x:v>1010011708</x:v>
      </x:c>
      <x:c r="E591" s="28" t="str">
        <x:v>经常账户(SDR):货物和服务:服务:电信、计算机和信息服务:贷方</x:v>
      </x:c>
      <x:c r="F591" s="28" t="str">
        <x:v>Current Account (SDR): Goods and Services: Services: Telecommunication and Computerand Information Services: Credit</x:v>
      </x:c>
      <x:c r="G591" s="27" t="str">
        <x:v>季</x:v>
      </x:c>
      <x:c r="H591" s="27" t="str">
        <x:v>亿SDR</x:v>
      </x:c>
      <x:c r="I591" s="27" t="str">
        <x:v>期末值</x:v>
      </x:c>
      <x:c r="J591" s="27" t="str">
        <x:v>全国</x:v>
      </x:c>
      <x:c r="K591" s="27" t="str">
        <x:v>中国</x:v>
      </x:c>
      <x:c r="L591" s="28" t="str">
        <x:v>国家外汇管理局</x:v>
      </x:c>
      <x:c r="M591" s="28" t="str">
        <x:v>getEcoDataChina</x:v>
      </x:c>
      <x:c r="N591" s="27" t="str">
        <x:v>2016-03-31</x:v>
      </x:c>
      <x:c r="O591" s="27" t="str">
        <x:v>2026-03-31</x:v>
      </x:c>
      <x:c r="P591" s="27" t="str">
        <x:v>持续更新</x:v>
      </x:c>
      <x:c r="Q591" s="27" t="str"/>
      <x:c r="R591" s="28" t="str"/>
    </x:row>
    <x:row r="592" ht="48" customHeight="1">
      <x:c r="A592" s="27" t="str">
        <x:v>801750</x:v>
      </x:c>
      <x:c r="B592" s="27" t="str">
        <x:v>计算机</x:v>
      </x:c>
      <x:c r="C592" s="27" t="n">
        <x:v>21</x:v>
      </x:c>
      <x:c r="D592" s="27" t="str">
        <x:v>1010007994</x:v>
      </x:c>
      <x:c r="E592" s="28" t="str">
        <x:v>经常账户(人民币):货物和服务:服务:电信、计算机和信息服务:借方:当季值</x:v>
      </x:c>
      <x:c r="F592" s="28" t="str">
        <x:v>Current Account (in RMB): Goods and Services: Services: Telecommunications, Computer and information Services: Debit</x:v>
      </x:c>
      <x:c r="G592" s="27" t="str">
        <x:v>季</x:v>
      </x:c>
      <x:c r="H592" s="27" t="str">
        <x:v>亿元</x:v>
      </x:c>
      <x:c r="I592" s="27" t="str">
        <x:v>期末值</x:v>
      </x:c>
      <x:c r="J592" s="27" t="str">
        <x:v>全国</x:v>
      </x:c>
      <x:c r="K592" s="27" t="str">
        <x:v>中国</x:v>
      </x:c>
      <x:c r="L592" s="28" t="str">
        <x:v>国家外汇管理局</x:v>
      </x:c>
      <x:c r="M592" s="28" t="str">
        <x:v>getEcoDataChina</x:v>
      </x:c>
      <x:c r="N592" s="27" t="str">
        <x:v>2010-03-31</x:v>
      </x:c>
      <x:c r="O592" s="27" t="str">
        <x:v>2026-03-31</x:v>
      </x:c>
      <x:c r="P592" s="27" t="str">
        <x:v>持续更新</x:v>
      </x:c>
      <x:c r="Q592" s="27" t="str"/>
      <x:c r="R592" s="28" t="str"/>
    </x:row>
    <x:row r="593" ht="48" customHeight="1">
      <x:c r="A593" s="27" t="str">
        <x:v>801750</x:v>
      </x:c>
      <x:c r="B593" s="27" t="str">
        <x:v>计算机</x:v>
      </x:c>
      <x:c r="C593" s="27" t="n">
        <x:v>22</x:v>
      </x:c>
      <x:c r="D593" s="27" t="str">
        <x:v>1010013816</x:v>
      </x:c>
      <x:c r="E593" s="28" t="str">
        <x:v>经常账户(人民币):货物和服务:服务:电信、计算机和信息服务:借方:累计值</x:v>
      </x:c>
      <x:c r="F593" s="28" t="str">
        <x:v>Current Account (RMB): Goods and Services: Services: Telecommunication, Computer and Information Services: Debit: Cumulative Value</x:v>
      </x:c>
      <x:c r="G593" s="27" t="str">
        <x:v>季</x:v>
      </x:c>
      <x:c r="H593" s="27" t="str">
        <x:v>亿元</x:v>
      </x:c>
      <x:c r="I593" s="27" t="str">
        <x:v>累计值</x:v>
      </x:c>
      <x:c r="J593" s="27" t="str">
        <x:v>全国</x:v>
      </x:c>
      <x:c r="K593" s="27" t="str">
        <x:v>中国</x:v>
      </x:c>
      <x:c r="L593" s="28" t="str">
        <x:v>国家外汇管理局</x:v>
      </x:c>
      <x:c r="M593" s="28" t="str">
        <x:v>getEcoDataChina</x:v>
      </x:c>
      <x:c r="N593" s="27" t="str">
        <x:v>2010-03-31</x:v>
      </x:c>
      <x:c r="O593" s="27" t="str">
        <x:v>2026-03-31</x:v>
      </x:c>
      <x:c r="P593" s="27" t="str">
        <x:v>持续更新</x:v>
      </x:c>
      <x:c r="Q593" s="27" t="str"/>
      <x:c r="R593" s="28" t="str"/>
    </x:row>
    <x:row r="594" ht="48" customHeight="1">
      <x:c r="A594" s="27" t="str">
        <x:v>801750</x:v>
      </x:c>
      <x:c r="B594" s="27" t="str">
        <x:v>计算机</x:v>
      </x:c>
      <x:c r="C594" s="27" t="n">
        <x:v>23</x:v>
      </x:c>
      <x:c r="D594" s="27" t="str">
        <x:v>1010013814</x:v>
      </x:c>
      <x:c r="E594" s="28" t="str">
        <x:v>经常账户(人民币):货物和服务:服务:电信、计算机和信息服务:差额:累计值</x:v>
      </x:c>
      <x:c r="F594" s="28" t="str">
        <x:v>Current Account (RMB): Goods and Services: Services: Telecommunication, Computer and Information Services: Balance: Cumulative Value</x:v>
      </x:c>
      <x:c r="G594" s="27" t="str">
        <x:v>季</x:v>
      </x:c>
      <x:c r="H594" s="27" t="str">
        <x:v>亿元</x:v>
      </x:c>
      <x:c r="I594" s="27" t="str">
        <x:v>累计值</x:v>
      </x:c>
      <x:c r="J594" s="27" t="str">
        <x:v>全国</x:v>
      </x:c>
      <x:c r="K594" s="27" t="str">
        <x:v>中国</x:v>
      </x:c>
      <x:c r="L594" s="28" t="str">
        <x:v>国家外汇管理局</x:v>
      </x:c>
      <x:c r="M594" s="28" t="str">
        <x:v>getEcoDataChina</x:v>
      </x:c>
      <x:c r="N594" s="27" t="str">
        <x:v>2010-03-31</x:v>
      </x:c>
      <x:c r="O594" s="27" t="str">
        <x:v>2026-03-31</x:v>
      </x:c>
      <x:c r="P594" s="27" t="str">
        <x:v>持续更新</x:v>
      </x:c>
      <x:c r="Q594" s="27" t="str"/>
      <x:c r="R594" s="28" t="str"/>
    </x:row>
    <x:row r="595" ht="48" customHeight="1">
      <x:c r="A595" s="27" t="str">
        <x:v>801750</x:v>
      </x:c>
      <x:c r="B595" s="27" t="str">
        <x:v>计算机</x:v>
      </x:c>
      <x:c r="C595" s="27" t="n">
        <x:v>24</x:v>
      </x:c>
      <x:c r="D595" s="27" t="str">
        <x:v>1010007992</x:v>
      </x:c>
      <x:c r="E595" s="28" t="str">
        <x:v>经常账户(人民币):货物和服务:服务:电信、计算机和信息服务:当季值</x:v>
      </x:c>
      <x:c r="F595" s="28" t="str">
        <x:v>Current Account (in RMB): Services And Goods: Services: Telecommunication, Computer And Information Services: Balance</x:v>
      </x:c>
      <x:c r="G595" s="27" t="str">
        <x:v>季</x:v>
      </x:c>
      <x:c r="H595" s="27" t="str">
        <x:v>亿元</x:v>
      </x:c>
      <x:c r="I595" s="27" t="str">
        <x:v>期末值</x:v>
      </x:c>
      <x:c r="J595" s="27" t="str">
        <x:v>全国</x:v>
      </x:c>
      <x:c r="K595" s="27" t="str">
        <x:v>中国</x:v>
      </x:c>
      <x:c r="L595" s="28" t="str">
        <x:v>国家外汇管理局</x:v>
      </x:c>
      <x:c r="M595" s="28" t="str">
        <x:v>getEcoDataChina</x:v>
      </x:c>
      <x:c r="N595" s="27" t="str">
        <x:v>2010-03-31</x:v>
      </x:c>
      <x:c r="O595" s="27" t="str">
        <x:v>2026-03-31</x:v>
      </x:c>
      <x:c r="P595" s="27" t="str">
        <x:v>持续更新</x:v>
      </x:c>
      <x:c r="Q595" s="27" t="str"/>
      <x:c r="R595" s="28" t="str"/>
    </x:row>
    <x:row r="596" ht="48" customHeight="1">
      <x:c r="A596" s="27" t="str">
        <x:v>801750</x:v>
      </x:c>
      <x:c r="B596" s="27" t="str">
        <x:v>计算机</x:v>
      </x:c>
      <x:c r="C596" s="27" t="n">
        <x:v>25</x:v>
      </x:c>
      <x:c r="D596" s="27" t="str">
        <x:v>1010007993</x:v>
      </x:c>
      <x:c r="E596" s="28" t="str">
        <x:v>经常账户(人民币):货物和服务:服务:电信、计算机和信息服务:贷方:当季值</x:v>
      </x:c>
      <x:c r="F596" s="28" t="str">
        <x:v>Current Account (in RMB): Goods and Services: Services: Telecommunications, Computer and information Services: Credit</x:v>
      </x:c>
      <x:c r="G596" s="27" t="str">
        <x:v>季</x:v>
      </x:c>
      <x:c r="H596" s="27" t="str">
        <x:v>亿元</x:v>
      </x:c>
      <x:c r="I596" s="27" t="str">
        <x:v>期末值</x:v>
      </x:c>
      <x:c r="J596" s="27" t="str">
        <x:v>全国</x:v>
      </x:c>
      <x:c r="K596" s="27" t="str">
        <x:v>中国</x:v>
      </x:c>
      <x:c r="L596" s="28" t="str">
        <x:v>国家外汇管理局</x:v>
      </x:c>
      <x:c r="M596" s="28" t="str">
        <x:v>getEcoDataChina</x:v>
      </x:c>
      <x:c r="N596" s="27" t="str">
        <x:v>2010-03-31</x:v>
      </x:c>
      <x:c r="O596" s="27" t="str">
        <x:v>2026-03-31</x:v>
      </x:c>
      <x:c r="P596" s="27" t="str">
        <x:v>持续更新</x:v>
      </x:c>
      <x:c r="Q596" s="27" t="str"/>
      <x:c r="R596" s="28" t="str"/>
    </x:row>
    <x:row r="597" ht="48" customHeight="1">
      <x:c r="A597" s="27" t="str">
        <x:v>801750</x:v>
      </x:c>
      <x:c r="B597" s="27" t="str">
        <x:v>计算机</x:v>
      </x:c>
      <x:c r="C597" s="27" t="n">
        <x:v>26</x:v>
      </x:c>
      <x:c r="D597" s="27" t="str">
        <x:v>1010013815</x:v>
      </x:c>
      <x:c r="E597" s="28" t="str">
        <x:v>经常账户(人民币):货物和服务:服务:电信、计算机和信息服务:贷方:累计值</x:v>
      </x:c>
      <x:c r="F597" s="28" t="str">
        <x:v>Current Account (RMB): Goods and Services: Services: Telecommunication, Computer and Information Services: Credit: Cumulative Value</x:v>
      </x:c>
      <x:c r="G597" s="27" t="str">
        <x:v>季</x:v>
      </x:c>
      <x:c r="H597" s="27" t="str">
        <x:v>亿元</x:v>
      </x:c>
      <x:c r="I597" s="27" t="str">
        <x:v>累计值</x:v>
      </x:c>
      <x:c r="J597" s="27" t="str">
        <x:v>全国</x:v>
      </x:c>
      <x:c r="K597" s="27" t="str">
        <x:v>中国</x:v>
      </x:c>
      <x:c r="L597" s="28" t="str">
        <x:v>国家外汇管理局</x:v>
      </x:c>
      <x:c r="M597" s="28" t="str">
        <x:v>getEcoDataChina</x:v>
      </x:c>
      <x:c r="N597" s="27" t="str">
        <x:v>2010-03-31</x:v>
      </x:c>
      <x:c r="O597" s="27" t="str">
        <x:v>2026-03-31</x:v>
      </x:c>
      <x:c r="P597" s="27" t="str">
        <x:v>持续更新</x:v>
      </x:c>
      <x:c r="Q597" s="27" t="str"/>
      <x:c r="R597" s="28" t="str"/>
    </x:row>
    <x:row r="598" ht="48" customHeight="1">
      <x:c r="A598" s="27" t="str">
        <x:v>801750</x:v>
      </x:c>
      <x:c r="B598" s="27" t="str">
        <x:v>计算机</x:v>
      </x:c>
      <x:c r="C598" s="27" t="n">
        <x:v>27</x:v>
      </x:c>
      <x:c r="D598" s="27" t="str">
        <x:v>1010007673</x:v>
      </x:c>
      <x:c r="E598" s="28" t="str">
        <x:v>经常账户(美元):货物和服务:服务:电信、计算机和信息服务:借方:当季值</x:v>
      </x:c>
      <x:c r="F598" s="28" t="str">
        <x:v>Current Account(USD):Goods and Services: Services:Telecommunication、Computerand Information Services: Debit</x:v>
      </x:c>
      <x:c r="G598" s="27" t="str">
        <x:v>季</x:v>
      </x:c>
      <x:c r="H598" s="27" t="str">
        <x:v>亿美元</x:v>
      </x:c>
      <x:c r="I598" s="27" t="str">
        <x:v>期末值</x:v>
      </x:c>
      <x:c r="J598" s="27" t="str">
        <x:v>全国</x:v>
      </x:c>
      <x:c r="K598" s="27" t="str">
        <x:v>中国</x:v>
      </x:c>
      <x:c r="L598" s="28" t="str">
        <x:v>国家外汇管理局</x:v>
      </x:c>
      <x:c r="M598" s="28" t="str">
        <x:v>getEcoDataChina</x:v>
      </x:c>
      <x:c r="N598" s="27" t="str">
        <x:v>1998-03-31</x:v>
      </x:c>
      <x:c r="O598" s="27" t="str">
        <x:v>2026-03-31</x:v>
      </x:c>
      <x:c r="P598" s="27" t="str">
        <x:v>持续更新</x:v>
      </x:c>
      <x:c r="Q598" s="27" t="str"/>
      <x:c r="R598" s="28" t="str"/>
    </x:row>
    <x:row r="599" ht="48" customHeight="1">
      <x:c r="A599" s="27" t="str">
        <x:v>801750</x:v>
      </x:c>
      <x:c r="B599" s="27" t="str">
        <x:v>计算机</x:v>
      </x:c>
      <x:c r="C599" s="27" t="n">
        <x:v>28</x:v>
      </x:c>
      <x:c r="D599" s="27" t="str">
        <x:v>1010013685</x:v>
      </x:c>
      <x:c r="E599" s="28" t="str">
        <x:v>经常账户(美元):货物和服务:服务:电信、计算机和信息服务:借方:累计值</x:v>
      </x:c>
      <x:c r="F599" s="28" t="str">
        <x:v>Current Account (USD): Goods and Services: Services: Telecommunication, Computer and Information Services: Debit: Cumulative Value</x:v>
      </x:c>
      <x:c r="G599" s="27" t="str">
        <x:v>季</x:v>
      </x:c>
      <x:c r="H599" s="27" t="str">
        <x:v>亿美元</x:v>
      </x:c>
      <x:c r="I599" s="27" t="str">
        <x:v>累计值</x:v>
      </x:c>
      <x:c r="J599" s="27" t="str">
        <x:v>全国</x:v>
      </x:c>
      <x:c r="K599" s="27" t="str">
        <x:v>中国</x:v>
      </x:c>
      <x:c r="L599" s="28" t="str">
        <x:v>国家外汇管理局</x:v>
      </x:c>
      <x:c r="M599" s="28" t="str">
        <x:v>getEcoDataChina</x:v>
      </x:c>
      <x:c r="N599" s="27" t="str">
        <x:v>1998-03-31</x:v>
      </x:c>
      <x:c r="O599" s="27" t="str">
        <x:v>2026-03-31</x:v>
      </x:c>
      <x:c r="P599" s="27" t="str">
        <x:v>持续更新</x:v>
      </x:c>
      <x:c r="Q599" s="27" t="str"/>
      <x:c r="R599" s="28" t="str"/>
    </x:row>
    <x:row r="600" ht="48" customHeight="1">
      <x:c r="A600" s="27" t="str">
        <x:v>801750</x:v>
      </x:c>
      <x:c r="B600" s="27" t="str">
        <x:v>计算机</x:v>
      </x:c>
      <x:c r="C600" s="27" t="n">
        <x:v>29</x:v>
      </x:c>
      <x:c r="D600" s="27" t="str">
        <x:v>1010013683</x:v>
      </x:c>
      <x:c r="E600" s="28" t="str">
        <x:v>经常账户(美元):货物和服务:服务:电信、计算机和信息服务:差额:累计值</x:v>
      </x:c>
      <x:c r="F600" s="28" t="str">
        <x:v>Current Account (USD): Goods and Services: Services: Telecommunication, Computer and Information Services: Balance: Cumulative Value</x:v>
      </x:c>
      <x:c r="G600" s="27" t="str">
        <x:v>季</x:v>
      </x:c>
      <x:c r="H600" s="27" t="str">
        <x:v>亿美元</x:v>
      </x:c>
      <x:c r="I600" s="27" t="str">
        <x:v>累计值</x:v>
      </x:c>
      <x:c r="J600" s="27" t="str">
        <x:v>全国</x:v>
      </x:c>
      <x:c r="K600" s="27" t="str">
        <x:v>中国</x:v>
      </x:c>
      <x:c r="L600" s="28" t="str">
        <x:v>国家外汇管理局</x:v>
      </x:c>
      <x:c r="M600" s="28" t="str">
        <x:v>getEcoDataChina</x:v>
      </x:c>
      <x:c r="N600" s="27" t="str">
        <x:v>1998-03-31</x:v>
      </x:c>
      <x:c r="O600" s="27" t="str">
        <x:v>2026-03-31</x:v>
      </x:c>
      <x:c r="P600" s="27" t="str">
        <x:v>持续更新</x:v>
      </x:c>
      <x:c r="Q600" s="27" t="str"/>
      <x:c r="R600" s="28" t="str"/>
    </x:row>
    <x:row r="601" ht="48" customHeight="1">
      <x:c r="A601" s="27" t="str">
        <x:v>801750</x:v>
      </x:c>
      <x:c r="B601" s="27" t="str">
        <x:v>计算机</x:v>
      </x:c>
      <x:c r="C601" s="27" t="n">
        <x:v>30</x:v>
      </x:c>
      <x:c r="D601" s="27" t="str">
        <x:v>1010007671</x:v>
      </x:c>
      <x:c r="E601" s="28" t="str">
        <x:v>经常账户(美元):货物和服务:服务:电信、计算机和信息服务:当季值</x:v>
      </x:c>
      <x:c r="F601" s="28" t="str">
        <x:v>Current Account(USD):Goods and Services: Services:Telecommunication、Computerand Information Services: Balance</x:v>
      </x:c>
      <x:c r="G601" s="27" t="str">
        <x:v>季</x:v>
      </x:c>
      <x:c r="H601" s="27" t="str">
        <x:v>亿美元</x:v>
      </x:c>
      <x:c r="I601" s="27" t="str">
        <x:v>期末值</x:v>
      </x:c>
      <x:c r="J601" s="27" t="str">
        <x:v>全国</x:v>
      </x:c>
      <x:c r="K601" s="27" t="str">
        <x:v>中国</x:v>
      </x:c>
      <x:c r="L601" s="28" t="str">
        <x:v>国家外汇管理局</x:v>
      </x:c>
      <x:c r="M601" s="28" t="str">
        <x:v>getEcoDataChina</x:v>
      </x:c>
      <x:c r="N601" s="27" t="str">
        <x:v>1998-03-31</x:v>
      </x:c>
      <x:c r="O601" s="27" t="str">
        <x:v>2026-03-31</x:v>
      </x:c>
      <x:c r="P601" s="27" t="str">
        <x:v>持续更新</x:v>
      </x:c>
      <x:c r="Q601" s="27" t="str"/>
      <x:c r="R601" s="28" t="str"/>
    </x:row>
    <x:row r="602" ht="48" customHeight="1">
      <x:c r="A602" s="27" t="str">
        <x:v>801760</x:v>
      </x:c>
      <x:c r="B602" s="27" t="str">
        <x:v>传媒</x:v>
      </x:c>
      <x:c r="C602" s="27" t="n">
        <x:v>1</x:v>
      </x:c>
      <x:c r="D602" s="27" t="str">
        <x:v>2100001806</x:v>
      </x:c>
      <x:c r="E602" s="28" t="str">
        <x:v>全国电影票房收入:当日值</x:v>
      </x:c>
      <x:c r="F602" s="28" t="str">
        <x:v>National Film Box Office Income: Current Value (Day)</x:v>
      </x:c>
      <x:c r="G602" s="27" t="str">
        <x:v>日</x:v>
      </x:c>
      <x:c r="H602" s="27" t="str">
        <x:v>万元</x:v>
      </x:c>
      <x:c r="I602" s="27" t="str">
        <x:v>当期值</x:v>
      </x:c>
      <x:c r="J602" s="27" t="str">
        <x:v>全国</x:v>
      </x:c>
      <x:c r="K602" s="27" t="str">
        <x:v>中国</x:v>
      </x:c>
      <x:c r="L602" s="28" t="str">
        <x:v>艺恩数据</x:v>
      </x:c>
      <x:c r="M602" s="28" t="str">
        <x:v>getEcoDataIndCulture</x:v>
      </x:c>
      <x:c r="N602" s="27" t="str">
        <x:v>2008-01-01</x:v>
      </x:c>
      <x:c r="O602" s="27" t="str">
        <x:v>2026-08-07</x:v>
      </x:c>
      <x:c r="P602" s="27" t="str">
        <x:v>持续更新</x:v>
      </x:c>
      <x:c r="Q602" s="27" t="str"/>
      <x:c r="R602" s="28" t="str"/>
    </x:row>
    <x:row r="603" ht="48" customHeight="1">
      <x:c r="A603" s="27" t="str">
        <x:v>801760</x:v>
      </x:c>
      <x:c r="B603" s="27" t="str">
        <x:v>传媒</x:v>
      </x:c>
      <x:c r="C603" s="27" t="n">
        <x:v>2</x:v>
      </x:c>
      <x:c r="D603" s="27" t="str">
        <x:v>2100726810</x:v>
      </x:c>
      <x:c r="E603" s="28" t="str">
        <x:v>全国电影票房:当日人次</x:v>
      </x:c>
      <x:c r="F603" s="28" t="str">
        <x:v>National Film Box Office: Daily Attendance</x:v>
      </x:c>
      <x:c r="G603" s="27" t="str">
        <x:v>日</x:v>
      </x:c>
      <x:c r="H603" s="27" t="str">
        <x:v>人</x:v>
      </x:c>
      <x:c r="I603" s="27" t="str">
        <x:v>当期值</x:v>
      </x:c>
      <x:c r="J603" s="27" t="str">
        <x:v>全国</x:v>
      </x:c>
      <x:c r="K603" s="27" t="str">
        <x:v>中国</x:v>
      </x:c>
      <x:c r="L603" s="28" t="str">
        <x:v>中国电影数据信息网</x:v>
      </x:c>
      <x:c r="M603" s="28" t="str">
        <x:v>getEcoDataIndCulture</x:v>
      </x:c>
      <x:c r="N603" s="27" t="str">
        <x:v>2015-09-30</x:v>
      </x:c>
      <x:c r="O603" s="27" t="str">
        <x:v>2026-08-07</x:v>
      </x:c>
      <x:c r="P603" s="27" t="str">
        <x:v>持续更新</x:v>
      </x:c>
      <x:c r="Q603" s="27" t="str"/>
      <x:c r="R603" s="28" t="str"/>
    </x:row>
    <x:row r="604" ht="48" customHeight="1">
      <x:c r="A604" s="27" t="str">
        <x:v>801760</x:v>
      </x:c>
      <x:c r="B604" s="27" t="str">
        <x:v>传媒</x:v>
      </x:c>
      <x:c r="C604" s="27" t="n">
        <x:v>3</x:v>
      </x:c>
      <x:c r="D604" s="27" t="str">
        <x:v>2100726809</x:v>
      </x:c>
      <x:c r="E604" s="28" t="str">
        <x:v>全国电影票房:当日场次</x:v>
      </x:c>
      <x:c r="F604" s="28" t="str">
        <x:v>National Film Box Office: Daily Screening Sessions</x:v>
      </x:c>
      <x:c r="G604" s="27" t="str">
        <x:v>日</x:v>
      </x:c>
      <x:c r="H604" s="27" t="str">
        <x:v>场</x:v>
      </x:c>
      <x:c r="I604" s="27" t="str">
        <x:v>当期值</x:v>
      </x:c>
      <x:c r="J604" s="27" t="str">
        <x:v>全国</x:v>
      </x:c>
      <x:c r="K604" s="27" t="str">
        <x:v>中国</x:v>
      </x:c>
      <x:c r="L604" s="28" t="str">
        <x:v>中国电影数据信息网</x:v>
      </x:c>
      <x:c r="M604" s="28" t="str">
        <x:v>getEcoDataIndCulture</x:v>
      </x:c>
      <x:c r="N604" s="27" t="str">
        <x:v>2015-09-30</x:v>
      </x:c>
      <x:c r="O604" s="27" t="str">
        <x:v>2026-08-07</x:v>
      </x:c>
      <x:c r="P604" s="27" t="str">
        <x:v>持续更新</x:v>
      </x:c>
      <x:c r="Q604" s="27" t="str"/>
      <x:c r="R604" s="28" t="str"/>
    </x:row>
    <x:row r="605" ht="48" customHeight="1">
      <x:c r="A605" s="27" t="str">
        <x:v>801760</x:v>
      </x:c>
      <x:c r="B605" s="27" t="str">
        <x:v>传媒</x:v>
      </x:c>
      <x:c r="C605" s="27" t="n">
        <x:v>4</x:v>
      </x:c>
      <x:c r="D605" s="27" t="str">
        <x:v>2100726811</x:v>
      </x:c>
      <x:c r="E605" s="28" t="str">
        <x:v>全国电影票房:当日票房</x:v>
      </x:c>
      <x:c r="F605" s="28" t="str">
        <x:v>National Film Box Office: Daily Box Office Revenue</x:v>
      </x:c>
      <x:c r="G605" s="27" t="str">
        <x:v>日</x:v>
      </x:c>
      <x:c r="H605" s="27" t="str">
        <x:v>万元</x:v>
      </x:c>
      <x:c r="I605" s="27" t="str">
        <x:v>当期值</x:v>
      </x:c>
      <x:c r="J605" s="27" t="str">
        <x:v>全国</x:v>
      </x:c>
      <x:c r="K605" s="27" t="str">
        <x:v>中国</x:v>
      </x:c>
      <x:c r="L605" s="28" t="str">
        <x:v>中国电影数据信息网</x:v>
      </x:c>
      <x:c r="M605" s="28" t="str">
        <x:v>getEcoDataIndCulture</x:v>
      </x:c>
      <x:c r="N605" s="27" t="str">
        <x:v>2015-09-30</x:v>
      </x:c>
      <x:c r="O605" s="27" t="str">
        <x:v>2026-08-07</x:v>
      </x:c>
      <x:c r="P605" s="27" t="str">
        <x:v>持续更新</x:v>
      </x:c>
      <x:c r="Q605" s="27" t="str"/>
      <x:c r="R605" s="28" t="str"/>
    </x:row>
    <x:row r="606" ht="48" customHeight="1">
      <x:c r="A606" s="27" t="str">
        <x:v>801760</x:v>
      </x:c>
      <x:c r="B606" s="27" t="str">
        <x:v>传媒</x:v>
      </x:c>
      <x:c r="C606" s="27" t="n">
        <x:v>5</x:v>
      </x:c>
      <x:c r="D606" s="27" t="str">
        <x:v>2100001808</x:v>
      </x:c>
      <x:c r="E606" s="28" t="str">
        <x:v>全国电影票房人次:当日值</x:v>
      </x:c>
      <x:c r="F606" s="28" t="str">
        <x:v>National Film Visitors: Current Value (Day)</x:v>
      </x:c>
      <x:c r="G606" s="27" t="str">
        <x:v>日</x:v>
      </x:c>
      <x:c r="H606" s="27" t="str">
        <x:v>万人</x:v>
      </x:c>
      <x:c r="I606" s="27" t="str">
        <x:v>当期值</x:v>
      </x:c>
      <x:c r="J606" s="27" t="str">
        <x:v>全国</x:v>
      </x:c>
      <x:c r="K606" s="27" t="str">
        <x:v>中国</x:v>
      </x:c>
      <x:c r="L606" s="28" t="str">
        <x:v>艺恩数据</x:v>
      </x:c>
      <x:c r="M606" s="28" t="str">
        <x:v>getEcoDataIndCulture</x:v>
      </x:c>
      <x:c r="N606" s="27" t="str">
        <x:v>2015-06-12</x:v>
      </x:c>
      <x:c r="O606" s="27" t="str">
        <x:v>2026-08-07</x:v>
      </x:c>
      <x:c r="P606" s="27" t="str">
        <x:v>持续更新</x:v>
      </x:c>
      <x:c r="Q606" s="27" t="str"/>
      <x:c r="R606" s="28" t="str"/>
    </x:row>
    <x:row r="607" ht="48" customHeight="1">
      <x:c r="A607" s="27" t="str">
        <x:v>801760</x:v>
      </x:c>
      <x:c r="B607" s="27" t="str">
        <x:v>传媒</x:v>
      </x:c>
      <x:c r="C607" s="27" t="n">
        <x:v>6</x:v>
      </x:c>
      <x:c r="D607" s="27" t="str">
        <x:v>2100001807</x:v>
      </x:c>
      <x:c r="E607" s="28" t="str">
        <x:v>全国电影票房场次:当日值</x:v>
      </x:c>
      <x:c r="F607" s="28" t="str">
        <x:v>National Film Screening: Current Value (Day)</x:v>
      </x:c>
      <x:c r="G607" s="27" t="str">
        <x:v>日</x:v>
      </x:c>
      <x:c r="H607" s="27" t="str">
        <x:v>场</x:v>
      </x:c>
      <x:c r="I607" s="27" t="str">
        <x:v>当期值</x:v>
      </x:c>
      <x:c r="J607" s="27" t="str">
        <x:v>全国</x:v>
      </x:c>
      <x:c r="K607" s="27" t="str">
        <x:v>中国</x:v>
      </x:c>
      <x:c r="L607" s="28" t="str">
        <x:v>艺恩数据</x:v>
      </x:c>
      <x:c r="M607" s="28" t="str">
        <x:v>getEcoDataIndCulture</x:v>
      </x:c>
      <x:c r="N607" s="27" t="str">
        <x:v>2015-06-12</x:v>
      </x:c>
      <x:c r="O607" s="27" t="str">
        <x:v>2026-08-07</x:v>
      </x:c>
      <x:c r="P607" s="27" t="str">
        <x:v>持续更新</x:v>
      </x:c>
      <x:c r="Q607" s="27" t="str"/>
      <x:c r="R607" s="28" t="str"/>
    </x:row>
    <x:row r="608" ht="48" customHeight="1">
      <x:c r="A608" s="27" t="str">
        <x:v>801760</x:v>
      </x:c>
      <x:c r="B608" s="27" t="str">
        <x:v>传媒</x:v>
      </x:c>
      <x:c r="C608" s="27" t="n">
        <x:v>7</x:v>
      </x:c>
      <x:c r="D608" s="27" t="str">
        <x:v>1050000380</x:v>
      </x:c>
      <x:c r="E608" s="28" t="str">
        <x:v>固定资产投资完成额:电信、广播电视和卫星传输服务业:累计同比</x:v>
      </x:c>
      <x:c r="F608" s="28" t="str">
        <x:v>Fixed Assets Investment Completed: Information Transmission, Software And Information Technology Services: Telecommunications, Radio And Television And Satellite Transmission Services: Cumulative YoY</x:v>
      </x:c>
      <x:c r="G608" s="27" t="str">
        <x:v>月</x:v>
      </x:c>
      <x:c r="H608" s="27" t="str">
        <x:v>%</x:v>
      </x:c>
      <x:c r="I608" s="27" t="str">
        <x:v>累计同比</x:v>
      </x:c>
      <x:c r="J608" s="27" t="str">
        <x:v>全国</x:v>
      </x:c>
      <x:c r="K608" s="27" t="str">
        <x:v>中国</x:v>
      </x:c>
      <x:c r="L608" s="28" t="str">
        <x:v>国家统计局</x:v>
      </x:c>
      <x:c r="M608" s="28" t="str">
        <x:v>getEcoDataChina</x:v>
      </x:c>
      <x:c r="N608" s="27" t="str">
        <x:v>2012-02-29</x:v>
      </x:c>
      <x:c r="O608" s="27" t="str">
        <x:v>2026-06-30</x:v>
      </x:c>
      <x:c r="P608" s="27" t="str">
        <x:v>持续更新</x:v>
      </x:c>
      <x:c r="Q608" s="27" t="str"/>
      <x:c r="R608" s="28" t="str"/>
    </x:row>
    <x:row r="609" ht="48" customHeight="1">
      <x:c r="A609" s="27" t="str">
        <x:v>801760</x:v>
      </x:c>
      <x:c r="B609" s="27" t="str">
        <x:v>传媒</x:v>
      </x:c>
      <x:c r="C609" s="27" t="n">
        <x:v>8</x:v>
      </x:c>
      <x:c r="D609" s="27" t="str">
        <x:v>2100001826</x:v>
      </x:c>
      <x:c r="E609" s="28" t="str">
        <x:v>全国电影票房收入:国产影片:累计值</x:v>
      </x:c>
      <x:c r="F609" s="28" t="str">
        <x:v>National Film Sales Statistics: Domestic Films: YTD</x:v>
      </x:c>
      <x:c r="G609" s="27" t="str">
        <x:v>季</x:v>
      </x:c>
      <x:c r="H609" s="27" t="str">
        <x:v>万元</x:v>
      </x:c>
      <x:c r="I609" s="27" t="str">
        <x:v>累计值</x:v>
      </x:c>
      <x:c r="J609" s="27" t="str">
        <x:v>全国</x:v>
      </x:c>
      <x:c r="K609" s="27" t="str">
        <x:v>中国</x:v>
      </x:c>
      <x:c r="L609" s="28" t="str">
        <x:v>国家广播电影电视总局</x:v>
      </x:c>
      <x:c r="M609" s="28" t="str">
        <x:v>getEcoDataIndCulture</x:v>
      </x:c>
      <x:c r="N609" s="27" t="str">
        <x:v>2010-03-31</x:v>
      </x:c>
      <x:c r="O609" s="27" t="str">
        <x:v>2025-12-31</x:v>
      </x:c>
      <x:c r="P609" s="27" t="str">
        <x:v>持续更新</x:v>
      </x:c>
      <x:c r="Q609" s="27" t="str"/>
      <x:c r="R609" s="28" t="str"/>
    </x:row>
    <x:row r="610" ht="48" customHeight="1">
      <x:c r="A610" s="27" t="str">
        <x:v>801760</x:v>
      </x:c>
      <x:c r="B610" s="27" t="str">
        <x:v>传媒</x:v>
      </x:c>
      <x:c r="C610" s="27" t="n">
        <x:v>9</x:v>
      </x:c>
      <x:c r="D610" s="27" t="str">
        <x:v>2100603474</x:v>
      </x:c>
      <x:c r="E610" s="28" t="str">
        <x:v>全国电影票房收入:当季值</x:v>
      </x:c>
      <x:c r="F610" s="28" t="str">
        <x:v>National Film Box Office Income: Current Value (Quarter)</x:v>
      </x:c>
      <x:c r="G610" s="27" t="str">
        <x:v>季</x:v>
      </x:c>
      <x:c r="H610" s="27" t="str">
        <x:v>万元</x:v>
      </x:c>
      <x:c r="I610" s="27" t="str">
        <x:v>当期值</x:v>
      </x:c>
      <x:c r="J610" s="27" t="str">
        <x:v>全国</x:v>
      </x:c>
      <x:c r="K610" s="27" t="str">
        <x:v>中国</x:v>
      </x:c>
      <x:c r="L610" s="28" t="str">
        <x:v>艺恩数据</x:v>
      </x:c>
      <x:c r="M610" s="28" t="str">
        <x:v>getEcoDataIndCulture</x:v>
      </x:c>
      <x:c r="N610" s="27" t="str">
        <x:v>2008-03-31</x:v>
      </x:c>
      <x:c r="O610" s="27" t="str">
        <x:v>2026-06-30</x:v>
      </x:c>
      <x:c r="P610" s="27" t="str">
        <x:v>持续更新</x:v>
      </x:c>
      <x:c r="Q610" s="27" t="str"/>
      <x:c r="R610" s="28" t="str"/>
    </x:row>
    <x:row r="611" ht="48" customHeight="1">
      <x:c r="A611" s="27" t="str">
        <x:v>801760</x:v>
      </x:c>
      <x:c r="B611" s="27" t="str">
        <x:v>传媒</x:v>
      </x:c>
      <x:c r="C611" s="27" t="n">
        <x:v>10</x:v>
      </x:c>
      <x:c r="D611" s="27" t="str">
        <x:v>2190817044</x:v>
      </x:c>
      <x:c r="E611" s="28" t="str">
        <x:v>全国电影剧本(梗概)备案数:中外合拍影片同意立项数</x:v>
      </x:c>
      <x:c r="F611" s="28" t="str">
        <x:v>Number of National Screenplays (Synopsis) Filed: Number of Projects Approved for Chinese and Foreign Co-Production</x:v>
      </x:c>
      <x:c r="G611" s="27" t="str">
        <x:v>旬</x:v>
      </x:c>
      <x:c r="H611" s="27" t="str">
        <x:v>部</x:v>
      </x:c>
      <x:c r="I611" s="27" t="str">
        <x:v>当期值</x:v>
      </x:c>
      <x:c r="J611" s="27" t="str">
        <x:v>全国</x:v>
      </x:c>
      <x:c r="K611" s="27" t="str">
        <x:v>中国</x:v>
      </x:c>
      <x:c r="L611" s="28" t="str">
        <x:v>国家电影局</x:v>
      </x:c>
      <x:c r="M611" s="28" t="str">
        <x:v>getEcoDataIndCulture</x:v>
      </x:c>
      <x:c r="N611" s="27" t="str">
        <x:v>2011-03-31</x:v>
      </x:c>
      <x:c r="O611" s="27" t="str">
        <x:v>2026-06-30</x:v>
      </x:c>
      <x:c r="P611" s="27" t="str">
        <x:v>持续更新</x:v>
      </x:c>
      <x:c r="Q611" s="27" t="str"/>
      <x:c r="R611" s="28" t="str"/>
    </x:row>
    <x:row r="612" ht="48" customHeight="1">
      <x:c r="A612" s="27" t="str">
        <x:v>801760</x:v>
      </x:c>
      <x:c r="B612" s="27" t="str">
        <x:v>传媒</x:v>
      </x:c>
      <x:c r="C612" s="27" t="n">
        <x:v>11</x:v>
      </x:c>
      <x:c r="D612" s="27" t="str">
        <x:v>2190817040</x:v>
      </x:c>
      <x:c r="E612" s="28" t="str">
        <x:v>全国电影剧本(梗概)备案数:动画影片</x:v>
      </x:c>
      <x:c r="F612" s="28" t="str">
        <x:v>Number of National Screenplays (Synopsis) Filed: Animation Film</x:v>
      </x:c>
      <x:c r="G612" s="27" t="str">
        <x:v>旬</x:v>
      </x:c>
      <x:c r="H612" s="27" t="str">
        <x:v>部</x:v>
      </x:c>
      <x:c r="I612" s="27" t="str">
        <x:v>当期值</x:v>
      </x:c>
      <x:c r="J612" s="27" t="str">
        <x:v>全国</x:v>
      </x:c>
      <x:c r="K612" s="27" t="str">
        <x:v>中国</x:v>
      </x:c>
      <x:c r="L612" s="28" t="str">
        <x:v>国家电影局</x:v>
      </x:c>
      <x:c r="M612" s="28" t="str">
        <x:v>getEcoDataIndCulture</x:v>
      </x:c>
      <x:c r="N612" s="27" t="str">
        <x:v>2011-01-31</x:v>
      </x:c>
      <x:c r="O612" s="27" t="str">
        <x:v>2026-05-31</x:v>
      </x:c>
      <x:c r="P612" s="27" t="str">
        <x:v>持续更新</x:v>
      </x:c>
      <x:c r="Q612" s="27" t="str"/>
      <x:c r="R612" s="28" t="str"/>
    </x:row>
    <x:row r="613" ht="48" customHeight="1">
      <x:c r="A613" s="27" t="str">
        <x:v>801760</x:v>
      </x:c>
      <x:c r="B613" s="27" t="str">
        <x:v>传媒</x:v>
      </x:c>
      <x:c r="C613" s="27" t="n">
        <x:v>12</x:v>
      </x:c>
      <x:c r="D613" s="27" t="str">
        <x:v>2190817035</x:v>
      </x:c>
      <x:c r="E613" s="28" t="str">
        <x:v>全国电影剧本(梗概)备案数:故事影片</x:v>
      </x:c>
      <x:c r="F613" s="28" t="str">
        <x:v>Number of National Screenplays (Synopsis) Filed: Story Film</x:v>
      </x:c>
      <x:c r="G613" s="27" t="str">
        <x:v>旬</x:v>
      </x:c>
      <x:c r="H613" s="27" t="str">
        <x:v>部</x:v>
      </x:c>
      <x:c r="I613" s="27" t="str">
        <x:v>当期值</x:v>
      </x:c>
      <x:c r="J613" s="27" t="str">
        <x:v>全国</x:v>
      </x:c>
      <x:c r="K613" s="27" t="str">
        <x:v>中国</x:v>
      </x:c>
      <x:c r="L613" s="28" t="str">
        <x:v>国家电影局</x:v>
      </x:c>
      <x:c r="M613" s="28" t="str">
        <x:v>getEcoDataIndCulture</x:v>
      </x:c>
      <x:c r="N613" s="27" t="str">
        <x:v>2011-01-31</x:v>
      </x:c>
      <x:c r="O613" s="27" t="str">
        <x:v>2026-06-30</x:v>
      </x:c>
      <x:c r="P613" s="27" t="str">
        <x:v>持续更新</x:v>
      </x:c>
      <x:c r="Q613" s="27" t="str"/>
      <x:c r="R613" s="28" t="str"/>
    </x:row>
    <x:row r="614" ht="48" customHeight="1">
      <x:c r="A614" s="27" t="str">
        <x:v>801760</x:v>
      </x:c>
      <x:c r="B614" s="27" t="str">
        <x:v>传媒</x:v>
      </x:c>
      <x:c r="C614" s="27" t="n">
        <x:v>13</x:v>
      </x:c>
      <x:c r="D614" s="27" t="str">
        <x:v>2190817043</x:v>
      </x:c>
      <x:c r="E614" s="28" t="str">
        <x:v>全国电影剧本(梗概)备案数:特种影片</x:v>
      </x:c>
      <x:c r="F614" s="28" t="str">
        <x:v>Number of National Screenplays (Synopsis) Filed: Special Film</x:v>
      </x:c>
      <x:c r="G614" s="27" t="str">
        <x:v>旬</x:v>
      </x:c>
      <x:c r="H614" s="27" t="str">
        <x:v>部</x:v>
      </x:c>
      <x:c r="I614" s="27" t="str">
        <x:v>当期值</x:v>
      </x:c>
      <x:c r="J614" s="27" t="str">
        <x:v>全国</x:v>
      </x:c>
      <x:c r="K614" s="27" t="str">
        <x:v>中国</x:v>
      </x:c>
      <x:c r="L614" s="28" t="str">
        <x:v>国家电影局</x:v>
      </x:c>
      <x:c r="M614" s="28" t="str">
        <x:v>getEcoDataIndCulture</x:v>
      </x:c>
      <x:c r="N614" s="27" t="str">
        <x:v>2011-05-31</x:v>
      </x:c>
      <x:c r="O614" s="27" t="str">
        <x:v>2026-05-31</x:v>
      </x:c>
      <x:c r="P614" s="27" t="str">
        <x:v>持续更新</x:v>
      </x:c>
      <x:c r="Q614" s="27" t="str"/>
      <x:c r="R614" s="28" t="str"/>
    </x:row>
    <x:row r="615" ht="48" customHeight="1">
      <x:c r="A615" s="27" t="str">
        <x:v>801760</x:v>
      </x:c>
      <x:c r="B615" s="27" t="str">
        <x:v>传媒</x:v>
      </x:c>
      <x:c r="C615" s="27" t="n">
        <x:v>14</x:v>
      </x:c>
      <x:c r="D615" s="27" t="str">
        <x:v>2190817042</x:v>
      </x:c>
      <x:c r="E615" s="28" t="str">
        <x:v>全国电影剧本(梗概)备案数:科教影片</x:v>
      </x:c>
      <x:c r="F615" s="28" t="str">
        <x:v>Number of National Screenplays (Synopsis) Filed: Science Educational Film</x:v>
      </x:c>
      <x:c r="G615" s="27" t="str">
        <x:v>旬</x:v>
      </x:c>
      <x:c r="H615" s="27" t="str">
        <x:v>部</x:v>
      </x:c>
      <x:c r="I615" s="27" t="str">
        <x:v>当期值</x:v>
      </x:c>
      <x:c r="J615" s="27" t="str">
        <x:v>全国</x:v>
      </x:c>
      <x:c r="K615" s="27" t="str">
        <x:v>中国</x:v>
      </x:c>
      <x:c r="L615" s="28" t="str">
        <x:v>国家电影局</x:v>
      </x:c>
      <x:c r="M615" s="28" t="str">
        <x:v>getEcoDataIndCulture</x:v>
      </x:c>
      <x:c r="N615" s="27" t="str">
        <x:v>2011-04-10</x:v>
      </x:c>
      <x:c r="O615" s="27" t="str">
        <x:v>2026-05-31</x:v>
      </x:c>
      <x:c r="P615" s="27" t="str">
        <x:v>持续更新</x:v>
      </x:c>
      <x:c r="Q615" s="27" t="str"/>
      <x:c r="R615" s="28" t="str"/>
    </x:row>
    <x:row r="616" ht="48" customHeight="1">
      <x:c r="A616" s="27" t="str">
        <x:v>801760</x:v>
      </x:c>
      <x:c r="B616" s="27" t="str">
        <x:v>传媒</x:v>
      </x:c>
      <x:c r="C616" s="27" t="n">
        <x:v>15</x:v>
      </x:c>
      <x:c r="D616" s="27" t="str">
        <x:v>2190817041</x:v>
      </x:c>
      <x:c r="E616" s="28" t="str">
        <x:v>全国电影剧本(梗概)备案数:纪录影片</x:v>
      </x:c>
      <x:c r="F616" s="28" t="str">
        <x:v>Number of National Screenplays (Synopsis) Filed: Documentary Film</x:v>
      </x:c>
      <x:c r="G616" s="27" t="str">
        <x:v>旬</x:v>
      </x:c>
      <x:c r="H616" s="27" t="str">
        <x:v>部</x:v>
      </x:c>
      <x:c r="I616" s="27" t="str">
        <x:v>当期值</x:v>
      </x:c>
      <x:c r="J616" s="27" t="str">
        <x:v>全国</x:v>
      </x:c>
      <x:c r="K616" s="27" t="str">
        <x:v>中国</x:v>
      </x:c>
      <x:c r="L616" s="28" t="str">
        <x:v>国家电影局</x:v>
      </x:c>
      <x:c r="M616" s="28" t="str">
        <x:v>getEcoDataIndCulture</x:v>
      </x:c>
      <x:c r="N616" s="27" t="str">
        <x:v>2011-01-31</x:v>
      </x:c>
      <x:c r="O616" s="27" t="str">
        <x:v>2026-05-31</x:v>
      </x:c>
      <x:c r="P616" s="27" t="str">
        <x:v>持续更新</x:v>
      </x:c>
      <x:c r="Q616" s="27" t="str"/>
      <x:c r="R616" s="28" t="str"/>
    </x:row>
    <x:row r="617" ht="48" customHeight="1">
      <x:c r="A617" s="27" t="str">
        <x:v>801760</x:v>
      </x:c>
      <x:c r="B617" s="27" t="str">
        <x:v>传媒</x:v>
      </x:c>
      <x:c r="C617" s="27" t="n">
        <x:v>16</x:v>
      </x:c>
      <x:c r="D617" s="27" t="str">
        <x:v>1040018941</x:v>
      </x:c>
      <x:c r="E617" s="28" t="str">
        <x:v>PPI:广播电视设备制造业(上年同月=100)</x:v>
      </x:c>
      <x:c r="F617" s="28" t="str">
        <x:v>PPI: Broadcasting and Tv Equipment (CYoY=100)</x:v>
      </x:c>
      <x:c r="G617" s="27" t="str">
        <x:v>月</x:v>
      </x:c>
      <x:c r="H617" s="27" t="str">
        <x:v>上年同月=100</x:v>
      </x:c>
      <x:c r="I617" s="27" t="str">
        <x:v>当期值</x:v>
      </x:c>
      <x:c r="J617" s="27" t="str">
        <x:v>全国</x:v>
      </x:c>
      <x:c r="K617" s="27" t="str">
        <x:v>中国</x:v>
      </x:c>
      <x:c r="L617" s="28" t="str">
        <x:v>国家统计局</x:v>
      </x:c>
      <x:c r="M617" s="28" t="str">
        <x:v>getEcoDataChina</x:v>
      </x:c>
      <x:c r="N617" s="27" t="str">
        <x:v>2014-01-31</x:v>
      </x:c>
      <x:c r="O617" s="27" t="str">
        <x:v>2026-06-30</x:v>
      </x:c>
      <x:c r="P617" s="27" t="str">
        <x:v>持续更新</x:v>
      </x:c>
      <x:c r="Q617" s="27" t="str"/>
      <x:c r="R617" s="28" t="str"/>
    </x:row>
    <x:row r="618" ht="48" customHeight="1">
      <x:c r="A618" s="27" t="str">
        <x:v>801760</x:v>
      </x:c>
      <x:c r="B618" s="27" t="str">
        <x:v>传媒</x:v>
      </x:c>
      <x:c r="C618" s="27" t="n">
        <x:v>17</x:v>
      </x:c>
      <x:c r="D618" s="27" t="str">
        <x:v>2190813326</x:v>
      </x:c>
      <x:c r="E618" s="28" t="str">
        <x:v>出口数量:游戏机及零附件:当月同比</x:v>
      </x:c>
      <x:c r="F618" s="28" t="str">
        <x:v>Export Volume: Game Consoles and Accessories: Month YoY</x:v>
      </x:c>
      <x:c r="G618" s="27" t="str">
        <x:v>月</x:v>
      </x:c>
      <x:c r="H618" s="27" t="str">
        <x:v>%</x:v>
      </x:c>
      <x:c r="I618" s="27" t="str">
        <x:v>当期同比</x:v>
      </x:c>
      <x:c r="J618" s="27" t="str">
        <x:v>全国</x:v>
      </x:c>
      <x:c r="K618" s="27" t="str">
        <x:v>中国</x:v>
      </x:c>
      <x:c r="L618" s="28" t="str">
        <x:v>海关总署</x:v>
      </x:c>
      <x:c r="M618" s="28" t="str">
        <x:v>getEcoDataIndCulture</x:v>
      </x:c>
      <x:c r="N618" s="27" t="str">
        <x:v>2015-01-31</x:v>
      </x:c>
      <x:c r="O618" s="27" t="str">
        <x:v>2026-06-30</x:v>
      </x:c>
      <x:c r="P618" s="27" t="str">
        <x:v>持续更新</x:v>
      </x:c>
      <x:c r="Q618" s="27" t="str"/>
      <x:c r="R618" s="28" t="str"/>
    </x:row>
    <x:row r="619" ht="48" customHeight="1">
      <x:c r="A619" s="27" t="str">
        <x:v>801760</x:v>
      </x:c>
      <x:c r="B619" s="27" t="str">
        <x:v>传媒</x:v>
      </x:c>
      <x:c r="C619" s="27" t="n">
        <x:v>18</x:v>
      </x:c>
      <x:c r="D619" s="27" t="str">
        <x:v>2190822462</x:v>
      </x:c>
      <x:c r="E619" s="28" t="str">
        <x:v>出口金额(美元):一般的体育活动、体操等游戏用品及设备(9506):当月值</x:v>
      </x:c>
      <x:c r="F619" s="28" t="str">
        <x:v>Export Value (USD): General Sports Activities, Gymnastics And Other Game Supplies And Equipment(9506): Current Month Value</x:v>
      </x:c>
      <x:c r="G619" s="27" t="str">
        <x:v>月</x:v>
      </x:c>
      <x:c r="H619" s="27" t="str">
        <x:v>美元</x:v>
      </x:c>
      <x:c r="I619" s="27" t="str">
        <x:v>当期值</x:v>
      </x:c>
      <x:c r="J619" s="27" t="str">
        <x:v>中国</x:v>
      </x:c>
      <x:c r="K619" s="27" t="str">
        <x:v>中国</x:v>
      </x:c>
      <x:c r="L619" s="28" t="str">
        <x:v>海关总署</x:v>
      </x:c>
      <x:c r="M619" s="28" t="str">
        <x:v>getEcoDataIndCulture</x:v>
      </x:c>
      <x:c r="N619" s="27" t="str">
        <x:v>2015-01-31</x:v>
      </x:c>
      <x:c r="O619" s="27" t="str">
        <x:v>2026-06-30</x:v>
      </x:c>
      <x:c r="P619" s="27" t="str">
        <x:v>持续更新</x:v>
      </x:c>
      <x:c r="Q619" s="27" t="str"/>
      <x:c r="R619" s="28" t="str"/>
    </x:row>
    <x:row r="620" ht="48" customHeight="1">
      <x:c r="A620" s="27" t="str">
        <x:v>801760</x:v>
      </x:c>
      <x:c r="B620" s="27" t="str">
        <x:v>传媒</x:v>
      </x:c>
      <x:c r="C620" s="27" t="n">
        <x:v>19</x:v>
      </x:c>
      <x:c r="D620" s="27" t="str">
        <x:v>2190822322</x:v>
      </x:c>
      <x:c r="E620" s="28" t="str">
        <x:v>出口金额(美元):玩具、游戏品、运动用品及其零件、附件(95):当月值</x:v>
      </x:c>
      <x:c r="F620" s="28" t="str">
        <x:v>Export Value (USD): Toys, Games, Sporting Goods And Their Parts And Accessories (Mechanical Equipment)(95): Current Month Value</x:v>
      </x:c>
      <x:c r="G620" s="27" t="str">
        <x:v>月</x:v>
      </x:c>
      <x:c r="H620" s="27" t="str">
        <x:v>美元</x:v>
      </x:c>
      <x:c r="I620" s="27" t="str">
        <x:v>当期值</x:v>
      </x:c>
      <x:c r="J620" s="27" t="str">
        <x:v>中国</x:v>
      </x:c>
      <x:c r="K620" s="27" t="str">
        <x:v>中国</x:v>
      </x:c>
      <x:c r="L620" s="28" t="str">
        <x:v>海关总署</x:v>
      </x:c>
      <x:c r="M620" s="28" t="str">
        <x:v>getEcoDataIndCulture</x:v>
      </x:c>
      <x:c r="N620" s="27" t="str">
        <x:v>2015-01-31</x:v>
      </x:c>
      <x:c r="O620" s="27" t="str">
        <x:v>2026-06-30</x:v>
      </x:c>
      <x:c r="P620" s="27" t="str">
        <x:v>持续更新</x:v>
      </x:c>
      <x:c r="Q620" s="27" t="str"/>
      <x:c r="R620" s="28" t="str"/>
    </x:row>
    <x:row r="621" ht="48" customHeight="1">
      <x:c r="A621" s="27" t="str">
        <x:v>801760</x:v>
      </x:c>
      <x:c r="B621" s="27" t="str">
        <x:v>传媒</x:v>
      </x:c>
      <x:c r="C621" s="27" t="n">
        <x:v>20</x:v>
      </x:c>
      <x:c r="D621" s="27" t="str">
        <x:v>2190822434</x:v>
      </x:c>
      <x:c r="E621" s="28" t="str">
        <x:v>出口金额(美元):视频游戏控制器及设备、游艺场所等游戏用品(9504):当月值</x:v>
      </x:c>
      <x:c r="F621" s="28" t="str">
        <x:v>Export Value (USD): Video Game Controller And Equipment, Entertainment Places And Other Game Supplies(9504): Current Month Value</x:v>
      </x:c>
      <x:c r="G621" s="27" t="str">
        <x:v>月</x:v>
      </x:c>
      <x:c r="H621" s="27" t="str">
        <x:v>美元</x:v>
      </x:c>
      <x:c r="I621" s="27" t="str">
        <x:v>当期值</x:v>
      </x:c>
      <x:c r="J621" s="27" t="str">
        <x:v>中国</x:v>
      </x:c>
      <x:c r="K621" s="27" t="str">
        <x:v>中国</x:v>
      </x:c>
      <x:c r="L621" s="28" t="str">
        <x:v>海关总署</x:v>
      </x:c>
      <x:c r="M621" s="28" t="str">
        <x:v>getEcoDataIndCulture</x:v>
      </x:c>
      <x:c r="N621" s="27" t="str">
        <x:v>2015-01-31</x:v>
      </x:c>
      <x:c r="O621" s="27" t="str">
        <x:v>2026-06-30</x:v>
      </x:c>
      <x:c r="P621" s="27" t="str">
        <x:v>持续更新</x:v>
      </x:c>
      <x:c r="Q621" s="27" t="str"/>
      <x:c r="R621" s="28" t="str"/>
    </x:row>
    <x:row r="622" ht="48" customHeight="1">
      <x:c r="A622" s="27" t="str">
        <x:v>801760</x:v>
      </x:c>
      <x:c r="B622" s="27" t="str">
        <x:v>传媒</x:v>
      </x:c>
      <x:c r="C622" s="27" t="n">
        <x:v>21</x:v>
      </x:c>
      <x:c r="D622" s="27" t="str">
        <x:v>2190813478</x:v>
      </x:c>
      <x:c r="E622" s="28" t="str">
        <x:v>出口金额:游戏机及零附件:当月值</x:v>
      </x:c>
      <x:c r="F622" s="28" t="str">
        <x:v>Export Amount: Game Consoles and Accessories: Current Value (Month)</x:v>
      </x:c>
      <x:c r="G622" s="27" t="str">
        <x:v>月</x:v>
      </x:c>
      <x:c r="H622" s="27" t="str">
        <x:v>万美元</x:v>
      </x:c>
      <x:c r="I622" s="27" t="str">
        <x:v>当期值</x:v>
      </x:c>
      <x:c r="J622" s="27" t="str">
        <x:v>全国</x:v>
      </x:c>
      <x:c r="K622" s="27" t="str">
        <x:v>中国</x:v>
      </x:c>
      <x:c r="L622" s="28" t="str">
        <x:v>海关总署</x:v>
      </x:c>
      <x:c r="M622" s="28" t="str">
        <x:v>getEcoDataIndCulture</x:v>
      </x:c>
      <x:c r="N622" s="27" t="str">
        <x:v>2015-01-31</x:v>
      </x:c>
      <x:c r="O622" s="27" t="str">
        <x:v>2026-06-30</x:v>
      </x:c>
      <x:c r="P622" s="27" t="str">
        <x:v>持续更新</x:v>
      </x:c>
      <x:c r="Q622" s="27" t="str"/>
      <x:c r="R622" s="28" t="str"/>
    </x:row>
    <x:row r="623" ht="48" customHeight="1">
      <x:c r="A623" s="27" t="str">
        <x:v>801760</x:v>
      </x:c>
      <x:c r="B623" s="27" t="str">
        <x:v>传媒</x:v>
      </x:c>
      <x:c r="C623" s="27" t="n">
        <x:v>22</x:v>
      </x:c>
      <x:c r="D623" s="27" t="str">
        <x:v>2190703706</x:v>
      </x:c>
      <x:c r="E623" s="28" t="str">
        <x:v>广告刊例花费:全媒体:同比</x:v>
      </x:c>
      <x:c r="F623" s="28" t="str">
        <x:v>Advertising Examples Spend: All Media: YoY</x:v>
      </x:c>
      <x:c r="G623" s="27" t="str">
        <x:v>月</x:v>
      </x:c>
      <x:c r="H623" s="27" t="str">
        <x:v>%</x:v>
      </x:c>
      <x:c r="I623" s="27" t="str">
        <x:v>当期同比</x:v>
      </x:c>
      <x:c r="J623" s="27" t="str">
        <x:v>全国</x:v>
      </x:c>
      <x:c r="K623" s="27" t="str">
        <x:v>中国</x:v>
      </x:c>
      <x:c r="L623" s="28" t="str">
        <x:v>CTR媒介智讯</x:v>
      </x:c>
      <x:c r="M623" s="28" t="str">
        <x:v>getEcoDataIndCulture</x:v>
      </x:c>
      <x:c r="N623" s="27" t="str">
        <x:v>2014-07-31</x:v>
      </x:c>
      <x:c r="O623" s="27" t="str">
        <x:v>2026-06-30</x:v>
      </x:c>
      <x:c r="P623" s="27" t="str">
        <x:v>持续更新</x:v>
      </x:c>
      <x:c r="Q623" s="27" t="str"/>
      <x:c r="R623" s="28" t="str"/>
    </x:row>
    <x:row r="624" ht="48" customHeight="1">
      <x:c r="A624" s="27" t="str">
        <x:v>801760</x:v>
      </x:c>
      <x:c r="B624" s="27" t="str">
        <x:v>传媒</x:v>
      </x:c>
      <x:c r="C624" s="27" t="n">
        <x:v>23</x:v>
      </x:c>
      <x:c r="D624" s="27" t="str">
        <x:v>1060000115</x:v>
      </x:c>
      <x:c r="E624" s="28" t="str">
        <x:v>文化体育与传媒支出:当月值</x:v>
      </x:c>
      <x:c r="F624" s="28" t="str">
        <x:v>Culture, Sports And Media Expenditure: Current</x:v>
      </x:c>
      <x:c r="G624" s="27" t="str">
        <x:v>月</x:v>
      </x:c>
      <x:c r="H624" s="27" t="str">
        <x:v>亿元</x:v>
      </x:c>
      <x:c r="I624" s="27" t="str">
        <x:v>当期值</x:v>
      </x:c>
      <x:c r="J624" s="27" t="str">
        <x:v>全国</x:v>
      </x:c>
      <x:c r="K624" s="27" t="str">
        <x:v>中国</x:v>
      </x:c>
      <x:c r="L624" s="28" t="str">
        <x:v>财政部</x:v>
      </x:c>
      <x:c r="M624" s="28" t="str">
        <x:v>getEcoDataChina</x:v>
      </x:c>
      <x:c r="N624" s="27" t="str">
        <x:v>2007-01-31</x:v>
      </x:c>
      <x:c r="O624" s="27" t="str">
        <x:v>2026-06-30</x:v>
      </x:c>
      <x:c r="P624" s="27" t="str">
        <x:v>持续更新</x:v>
      </x:c>
      <x:c r="Q624" s="27" t="str"/>
      <x:c r="R624" s="28" t="str"/>
    </x:row>
    <x:row r="625" ht="48" customHeight="1">
      <x:c r="A625" s="27" t="str">
        <x:v>801760</x:v>
      </x:c>
      <x:c r="B625" s="27" t="str">
        <x:v>传媒</x:v>
      </x:c>
      <x:c r="C625" s="27" t="n">
        <x:v>24</x:v>
      </x:c>
      <x:c r="D625" s="27" t="str">
        <x:v>2190822465</x:v>
      </x:c>
      <x:c r="E625" s="28" t="str">
        <x:v>贸易差额(美元):一般的体育活动、体操等游戏用品及设备(9506):当月值</x:v>
      </x:c>
      <x:c r="F625" s="28" t="str">
        <x:v>Trade Balance (USD): General Sports Activities, Gymnastics And Other Game Supplies And Equipment(9506): Current Month Value</x:v>
      </x:c>
      <x:c r="G625" s="27" t="str">
        <x:v>月</x:v>
      </x:c>
      <x:c r="H625" s="27" t="str">
        <x:v>美元</x:v>
      </x:c>
      <x:c r="I625" s="27" t="str">
        <x:v>当期值</x:v>
      </x:c>
      <x:c r="J625" s="27" t="str">
        <x:v>中国</x:v>
      </x:c>
      <x:c r="K625" s="27" t="str">
        <x:v>中国</x:v>
      </x:c>
      <x:c r="L625" s="28" t="str">
        <x:v>海关总署</x:v>
      </x:c>
      <x:c r="M625" s="28" t="str">
        <x:v>getEcoDataIndCulture</x:v>
      </x:c>
      <x:c r="N625" s="27" t="str">
        <x:v>2015-01-31</x:v>
      </x:c>
      <x:c r="O625" s="27" t="str">
        <x:v>2026-06-30</x:v>
      </x:c>
      <x:c r="P625" s="27" t="str">
        <x:v>持续更新</x:v>
      </x:c>
      <x:c r="Q625" s="27" t="str"/>
      <x:c r="R625" s="28" t="str"/>
    </x:row>
    <x:row r="626" ht="48" customHeight="1">
      <x:c r="A626" s="27" t="str">
        <x:v>801760</x:v>
      </x:c>
      <x:c r="B626" s="27" t="str">
        <x:v>传媒</x:v>
      </x:c>
      <x:c r="C626" s="27" t="n">
        <x:v>25</x:v>
      </x:c>
      <x:c r="D626" s="27" t="str">
        <x:v>2190822325</x:v>
      </x:c>
      <x:c r="E626" s="28" t="str">
        <x:v>贸易差额(美元):玩具、游戏品、运动用品及其零件、附件(95):当月值</x:v>
      </x:c>
      <x:c r="F626" s="28" t="str">
        <x:v>Trade Balance (USD): Toys, Games, Sporting Goods And Their Parts And Accessories (Mechanical Equipment)(95): Current Month Value</x:v>
      </x:c>
      <x:c r="G626" s="27" t="str">
        <x:v>月</x:v>
      </x:c>
      <x:c r="H626" s="27" t="str">
        <x:v>美元</x:v>
      </x:c>
      <x:c r="I626" s="27" t="str">
        <x:v>当期值</x:v>
      </x:c>
      <x:c r="J626" s="27" t="str">
        <x:v>中国</x:v>
      </x:c>
      <x:c r="K626" s="27" t="str">
        <x:v>中国</x:v>
      </x:c>
      <x:c r="L626" s="28" t="str">
        <x:v>海关总署</x:v>
      </x:c>
      <x:c r="M626" s="28" t="str">
        <x:v>getEcoDataIndCulture</x:v>
      </x:c>
      <x:c r="N626" s="27" t="str">
        <x:v>2015-01-31</x:v>
      </x:c>
      <x:c r="O626" s="27" t="str">
        <x:v>2026-06-30</x:v>
      </x:c>
      <x:c r="P626" s="27" t="str">
        <x:v>持续更新</x:v>
      </x:c>
      <x:c r="Q626" s="27" t="str"/>
      <x:c r="R626" s="28" t="str"/>
    </x:row>
    <x:row r="627" ht="48" customHeight="1">
      <x:c r="A627" s="27" t="str">
        <x:v>801760</x:v>
      </x:c>
      <x:c r="B627" s="27" t="str">
        <x:v>传媒</x:v>
      </x:c>
      <x:c r="C627" s="27" t="n">
        <x:v>26</x:v>
      </x:c>
      <x:c r="D627" s="27" t="str">
        <x:v>2190822437</x:v>
      </x:c>
      <x:c r="E627" s="28" t="str">
        <x:v>贸易差额(美元):视频游戏控制器及设备、游艺场所等游戏用品(9504):当月值</x:v>
      </x:c>
      <x:c r="F627" s="28" t="str">
        <x:v>Trade Balance (USD): Video Game Controller And Equipment, Entertainment Places And Other Game Supplies(9504): Current Month Value</x:v>
      </x:c>
      <x:c r="G627" s="27" t="str">
        <x:v>月</x:v>
      </x:c>
      <x:c r="H627" s="27" t="str">
        <x:v>美元</x:v>
      </x:c>
      <x:c r="I627" s="27" t="str">
        <x:v>当期值</x:v>
      </x:c>
      <x:c r="J627" s="27" t="str">
        <x:v>中国</x:v>
      </x:c>
      <x:c r="K627" s="27" t="str">
        <x:v>中国</x:v>
      </x:c>
      <x:c r="L627" s="28" t="str">
        <x:v>海关总署</x:v>
      </x:c>
      <x:c r="M627" s="28" t="str">
        <x:v>getEcoDataIndCulture</x:v>
      </x:c>
      <x:c r="N627" s="27" t="str">
        <x:v>2015-01-31</x:v>
      </x:c>
      <x:c r="O627" s="27" t="str">
        <x:v>2026-06-30</x:v>
      </x:c>
      <x:c r="P627" s="27" t="str">
        <x:v>持续更新</x:v>
      </x:c>
      <x:c r="Q627" s="27" t="str"/>
      <x:c r="R627" s="28" t="str"/>
    </x:row>
    <x:row r="628" ht="48" customHeight="1">
      <x:c r="A628" s="27" t="str">
        <x:v>801760</x:v>
      </x:c>
      <x:c r="B628" s="27" t="str">
        <x:v>传媒</x:v>
      </x:c>
      <x:c r="C628" s="27" t="n">
        <x:v>27</x:v>
      </x:c>
      <x:c r="D628" s="27" t="str">
        <x:v>2190822464</x:v>
      </x:c>
      <x:c r="E628" s="28" t="str">
        <x:v>进出口金额(美元):一般的体育活动、体操等游戏用品及设备(9506):当月值</x:v>
      </x:c>
      <x:c r="F628" s="28" t="str">
        <x:v>Import And Export Value (USD): General Sports Activities, Gymnastics And Other Game Supplies And Equipment(9506): Current Month Value</x:v>
      </x:c>
      <x:c r="G628" s="27" t="str">
        <x:v>月</x:v>
      </x:c>
      <x:c r="H628" s="27" t="str">
        <x:v>美元</x:v>
      </x:c>
      <x:c r="I628" s="27" t="str">
        <x:v>当期值</x:v>
      </x:c>
      <x:c r="J628" s="27" t="str">
        <x:v>中国</x:v>
      </x:c>
      <x:c r="K628" s="27" t="str">
        <x:v>中国</x:v>
      </x:c>
      <x:c r="L628" s="28" t="str">
        <x:v>海关总署</x:v>
      </x:c>
      <x:c r="M628" s="28" t="str">
        <x:v>getEcoDataIndCulture</x:v>
      </x:c>
      <x:c r="N628" s="27" t="str">
        <x:v>2015-01-31</x:v>
      </x:c>
      <x:c r="O628" s="27" t="str">
        <x:v>2026-06-30</x:v>
      </x:c>
      <x:c r="P628" s="27" t="str">
        <x:v>持续更新</x:v>
      </x:c>
      <x:c r="Q628" s="27" t="str"/>
      <x:c r="R628" s="28" t="str"/>
    </x:row>
    <x:row r="629" ht="48" customHeight="1">
      <x:c r="A629" s="27" t="str">
        <x:v>801760</x:v>
      </x:c>
      <x:c r="B629" s="27" t="str">
        <x:v>传媒</x:v>
      </x:c>
      <x:c r="C629" s="27" t="n">
        <x:v>28</x:v>
      </x:c>
      <x:c r="D629" s="27" t="str">
        <x:v>2190822324</x:v>
      </x:c>
      <x:c r="E629" s="28" t="str">
        <x:v>进出口金额(美元):玩具、游戏品、运动用品及其零件、附件(95):当月值</x:v>
      </x:c>
      <x:c r="F629" s="28" t="str">
        <x:v>Import And Export Value (USD): Toys, Games, Sporting Goods And Their Parts And Accessories (Mechanical Equipment)(95): Current Month Value</x:v>
      </x:c>
      <x:c r="G629" s="27" t="str">
        <x:v>月</x:v>
      </x:c>
      <x:c r="H629" s="27" t="str">
        <x:v>美元</x:v>
      </x:c>
      <x:c r="I629" s="27" t="str">
        <x:v>当期值</x:v>
      </x:c>
      <x:c r="J629" s="27" t="str">
        <x:v>中国</x:v>
      </x:c>
      <x:c r="K629" s="27" t="str">
        <x:v>中国</x:v>
      </x:c>
      <x:c r="L629" s="28" t="str">
        <x:v>海关总署</x:v>
      </x:c>
      <x:c r="M629" s="28" t="str">
        <x:v>getEcoDataIndCulture</x:v>
      </x:c>
      <x:c r="N629" s="27" t="str">
        <x:v>2015-01-31</x:v>
      </x:c>
      <x:c r="O629" s="27" t="str">
        <x:v>2026-06-30</x:v>
      </x:c>
      <x:c r="P629" s="27" t="str">
        <x:v>持续更新</x:v>
      </x:c>
      <x:c r="Q629" s="27" t="str"/>
      <x:c r="R629" s="28" t="str"/>
    </x:row>
    <x:row r="630" ht="48" customHeight="1">
      <x:c r="A630" s="27" t="str">
        <x:v>801760</x:v>
      </x:c>
      <x:c r="B630" s="27" t="str">
        <x:v>传媒</x:v>
      </x:c>
      <x:c r="C630" s="27" t="n">
        <x:v>29</x:v>
      </x:c>
      <x:c r="D630" s="27" t="str">
        <x:v>2190822436</x:v>
      </x:c>
      <x:c r="E630" s="28" t="str">
        <x:v>进出口金额(美元):视频游戏控制器及设备、游艺场所等游戏用品(9504):当月值</x:v>
      </x:c>
      <x:c r="F630" s="28" t="str">
        <x:v>Import And Export Value (USD): Video Game Controller And Equipment, Entertainment Places And Other Game Supplies(9504): Current Month Value</x:v>
      </x:c>
      <x:c r="G630" s="27" t="str">
        <x:v>月</x:v>
      </x:c>
      <x:c r="H630" s="27" t="str">
        <x:v>美元</x:v>
      </x:c>
      <x:c r="I630" s="27" t="str">
        <x:v>当期值</x:v>
      </x:c>
      <x:c r="J630" s="27" t="str">
        <x:v>中国</x:v>
      </x:c>
      <x:c r="K630" s="27" t="str">
        <x:v>中国</x:v>
      </x:c>
      <x:c r="L630" s="28" t="str">
        <x:v>海关总署</x:v>
      </x:c>
      <x:c r="M630" s="28" t="str">
        <x:v>getEcoDataIndCulture</x:v>
      </x:c>
      <x:c r="N630" s="27" t="str">
        <x:v>2015-01-31</x:v>
      </x:c>
      <x:c r="O630" s="27" t="str">
        <x:v>2026-06-30</x:v>
      </x:c>
      <x:c r="P630" s="27" t="str">
        <x:v>持续更新</x:v>
      </x:c>
      <x:c r="Q630" s="27" t="str"/>
      <x:c r="R630" s="28" t="str"/>
    </x:row>
    <x:row r="631" ht="48" customHeight="1">
      <x:c r="A631" s="27" t="str">
        <x:v>801760</x:v>
      </x:c>
      <x:c r="B631" s="27" t="str">
        <x:v>传媒</x:v>
      </x:c>
      <x:c r="C631" s="27" t="n">
        <x:v>30</x:v>
      </x:c>
      <x:c r="D631" s="27" t="str">
        <x:v>2190822463</x:v>
      </x:c>
      <x:c r="E631" s="28" t="str">
        <x:v>进口金额(美元):一般的体育活动、体操等游戏用品及设备(9506):当月值</x:v>
      </x:c>
      <x:c r="F631" s="28" t="str">
        <x:v>Import Value (USD): General Sports Activities, Gymnastics And Other Game Supplies And Equipment(9506): Current Month Value</x:v>
      </x:c>
      <x:c r="G631" s="27" t="str">
        <x:v>月</x:v>
      </x:c>
      <x:c r="H631" s="27" t="str">
        <x:v>美元</x:v>
      </x:c>
      <x:c r="I631" s="27" t="str">
        <x:v>当期值</x:v>
      </x:c>
      <x:c r="J631" s="27" t="str">
        <x:v>中国</x:v>
      </x:c>
      <x:c r="K631" s="27" t="str">
        <x:v>中国</x:v>
      </x:c>
      <x:c r="L631" s="28" t="str">
        <x:v>海关总署</x:v>
      </x:c>
      <x:c r="M631" s="28" t="str">
        <x:v>getEcoDataIndCulture</x:v>
      </x:c>
      <x:c r="N631" s="27" t="str">
        <x:v>2015-01-31</x:v>
      </x:c>
      <x:c r="O631" s="27" t="str">
        <x:v>2026-06-30</x:v>
      </x:c>
      <x:c r="P631" s="27" t="str">
        <x:v>持续更新</x:v>
      </x:c>
      <x:c r="Q631" s="27" t="str"/>
      <x:c r="R631" s="28" t="str"/>
    </x:row>
    <x:row r="632" ht="48" customHeight="1">
      <x:c r="A632" s="27" t="str">
        <x:v>801770</x:v>
      </x:c>
      <x:c r="B632" s="27" t="str">
        <x:v>通信</x:v>
      </x:c>
      <x:c r="C632" s="27" t="n">
        <x:v>1</x:v>
      </x:c>
      <x:c r="D632" s="27" t="str">
        <x:v>2080617139</x:v>
      </x:c>
      <x:c r="E632" s="28" t="str">
        <x:v>产量:光缆:当月值</x:v>
      </x:c>
      <x:c r="F632" s="28" t="str">
        <x:v>Output: Optical Cables: Current Value (Month)</x:v>
      </x:c>
      <x:c r="G632" s="27" t="str">
        <x:v>月</x:v>
      </x:c>
      <x:c r="H632" s="27" t="str">
        <x:v>万芯千米</x:v>
      </x:c>
      <x:c r="I632" s="27" t="str">
        <x:v>当期值</x:v>
      </x:c>
      <x:c r="J632" s="27" t="str">
        <x:v>全国</x:v>
      </x:c>
      <x:c r="K632" s="27" t="str">
        <x:v>中国</x:v>
      </x:c>
      <x:c r="L632" s="28" t="str">
        <x:v>国家统计局</x:v>
      </x:c>
      <x:c r="M632" s="28" t="str">
        <x:v>getEcoDataIndMachineryequipment</x:v>
      </x:c>
      <x:c r="N632" s="27" t="str">
        <x:v>2004-01-31</x:v>
      </x:c>
      <x:c r="O632" s="27" t="str">
        <x:v>2026-06-30</x:v>
      </x:c>
      <x:c r="P632" s="27" t="str">
        <x:v>持续更新</x:v>
      </x:c>
      <x:c r="Q632" s="27" t="str"/>
      <x:c r="R632" s="28" t="str"/>
    </x:row>
    <x:row r="633" ht="48" customHeight="1">
      <x:c r="A633" s="27" t="str">
        <x:v>801770</x:v>
      </x:c>
      <x:c r="B633" s="27" t="str">
        <x:v>通信</x:v>
      </x:c>
      <x:c r="C633" s="27" t="n">
        <x:v>2</x:v>
      </x:c>
      <x:c r="D633" s="27" t="str">
        <x:v>2090100780</x:v>
      </x:c>
      <x:c r="E633" s="28" t="str">
        <x:v>产量:移动通信基站设备:当月值</x:v>
      </x:c>
      <x:c r="F633" s="28" t="str">
        <x:v>Output: Mobile Communication Base Station Equipment</x:v>
      </x:c>
      <x:c r="G633" s="27" t="str">
        <x:v>月</x:v>
      </x:c>
      <x:c r="H633" s="27" t="str">
        <x:v>万信道</x:v>
      </x:c>
      <x:c r="I633" s="27" t="str">
        <x:v>当期值</x:v>
      </x:c>
      <x:c r="J633" s="27" t="str">
        <x:v>全国</x:v>
      </x:c>
      <x:c r="K633" s="27" t="str">
        <x:v>中国</x:v>
      </x:c>
      <x:c r="L633" s="28" t="str">
        <x:v>国家统计局</x:v>
      </x:c>
      <x:c r="M633" s="28" t="str">
        <x:v>getEcoDataIndElectronic</x:v>
      </x:c>
      <x:c r="N633" s="27" t="str">
        <x:v>1990-02-28</x:v>
      </x:c>
      <x:c r="O633" s="27" t="str">
        <x:v>2026-06-30</x:v>
      </x:c>
      <x:c r="P633" s="27" t="str">
        <x:v>持续更新</x:v>
      </x:c>
      <x:c r="Q633" s="27" t="str"/>
      <x:c r="R633" s="28" t="str"/>
    </x:row>
    <x:row r="634" ht="48" customHeight="1">
      <x:c r="A634" s="27" t="str">
        <x:v>801770</x:v>
      </x:c>
      <x:c r="B634" s="27" t="str">
        <x:v>通信</x:v>
      </x:c>
      <x:c r="C634" s="27" t="n">
        <x:v>3</x:v>
      </x:c>
      <x:c r="D634" s="27" t="str">
        <x:v>2090717303</x:v>
      </x:c>
      <x:c r="E634" s="28" t="str">
        <x:v>出口金额(美元):光导纤维及光导纤维束;光缆(9001):当月值</x:v>
      </x:c>
      <x:c r="F634" s="28" t="str">
        <x:v>Export Value (USD): Optical Fiber And Optical Fiber Bundle;Optical Cable(9001): Current Month Value</x:v>
      </x:c>
      <x:c r="G634" s="27" t="str">
        <x:v>月</x:v>
      </x:c>
      <x:c r="H634" s="27" t="str">
        <x:v>美元</x:v>
      </x:c>
      <x:c r="I634" s="27" t="str">
        <x:v>当期值</x:v>
      </x:c>
      <x:c r="J634" s="27" t="str">
        <x:v>中国</x:v>
      </x:c>
      <x:c r="K634" s="27" t="str">
        <x:v>中国</x:v>
      </x:c>
      <x:c r="L634" s="28" t="str">
        <x:v>海关总署</x:v>
      </x:c>
      <x:c r="M634" s="28" t="str">
        <x:v>getEcoDataIndElectronic</x:v>
      </x:c>
      <x:c r="N634" s="27" t="str">
        <x:v>2015-01-31</x:v>
      </x:c>
      <x:c r="O634" s="27" t="str">
        <x:v>2026-06-30</x:v>
      </x:c>
      <x:c r="P634" s="27" t="str">
        <x:v>持续更新</x:v>
      </x:c>
      <x:c r="Q634" s="27" t="str"/>
      <x:c r="R634" s="28" t="str"/>
    </x:row>
    <x:row r="635" ht="48" customHeight="1">
      <x:c r="A635" s="27" t="str">
        <x:v>801770</x:v>
      </x:c>
      <x:c r="B635" s="27" t="str">
        <x:v>通信</x:v>
      </x:c>
      <x:c r="C635" s="27" t="n">
        <x:v>4</x:v>
      </x:c>
      <x:c r="D635" s="27" t="str">
        <x:v>2090716967</x:v>
      </x:c>
      <x:c r="E635" s="28" t="str">
        <x:v>出口金额(美元):电话机;其他声音、图像或其他数据用设备(8517):当月值</x:v>
      </x:c>
      <x:c r="F635" s="28" t="str">
        <x:v>Export Value (USD): Telephone;Other Devices For Sound, Image Or Other Data(8517): Current Month Value</x:v>
      </x:c>
      <x:c r="G635" s="27" t="str">
        <x:v>月</x:v>
      </x:c>
      <x:c r="H635" s="27" t="str">
        <x:v>美元</x:v>
      </x:c>
      <x:c r="I635" s="27" t="str">
        <x:v>当期值</x:v>
      </x:c>
      <x:c r="J635" s="27" t="str">
        <x:v>中国</x:v>
      </x:c>
      <x:c r="K635" s="27" t="str">
        <x:v>中国</x:v>
      </x:c>
      <x:c r="L635" s="28" t="str">
        <x:v>海关总署</x:v>
      </x:c>
      <x:c r="M635" s="28" t="str">
        <x:v>getEcoDataIndElectronic</x:v>
      </x:c>
      <x:c r="N635" s="27" t="str">
        <x:v>2015-01-31</x:v>
      </x:c>
      <x:c r="O635" s="27" t="str">
        <x:v>2026-06-30</x:v>
      </x:c>
      <x:c r="P635" s="27" t="str">
        <x:v>持续更新</x:v>
      </x:c>
      <x:c r="Q635" s="27" t="str"/>
      <x:c r="R635" s="28" t="str"/>
    </x:row>
    <x:row r="636" ht="48" customHeight="1">
      <x:c r="A636" s="27" t="str">
        <x:v>801770</x:v>
      </x:c>
      <x:c r="B636" s="27" t="str">
        <x:v>通信</x:v>
      </x:c>
      <x:c r="C636" s="27" t="n">
        <x:v>5</x:v>
      </x:c>
      <x:c r="D636" s="27" t="str">
        <x:v>2090717305</x:v>
      </x:c>
      <x:c r="E636" s="28" t="str">
        <x:v>进出口金额(美元):光导纤维及光导纤维束;光缆(9001):当月值</x:v>
      </x:c>
      <x:c r="F636" s="28" t="str">
        <x:v>Import And Export Value (USD): Optical Fiber And Optical Fiber Bundle;Optical Cable(9001): Current Month Value</x:v>
      </x:c>
      <x:c r="G636" s="27" t="str">
        <x:v>月</x:v>
      </x:c>
      <x:c r="H636" s="27" t="str">
        <x:v>美元</x:v>
      </x:c>
      <x:c r="I636" s="27" t="str">
        <x:v>当期值</x:v>
      </x:c>
      <x:c r="J636" s="27" t="str">
        <x:v>中国</x:v>
      </x:c>
      <x:c r="K636" s="27" t="str">
        <x:v>中国</x:v>
      </x:c>
      <x:c r="L636" s="28" t="str">
        <x:v>海关总署</x:v>
      </x:c>
      <x:c r="M636" s="28" t="str">
        <x:v>getEcoDataIndElectronic</x:v>
      </x:c>
      <x:c r="N636" s="27" t="str">
        <x:v>2015-01-31</x:v>
      </x:c>
      <x:c r="O636" s="27" t="str">
        <x:v>2026-06-30</x:v>
      </x:c>
      <x:c r="P636" s="27" t="str">
        <x:v>持续更新</x:v>
      </x:c>
      <x:c r="Q636" s="27" t="str"/>
      <x:c r="R636" s="28" t="str"/>
    </x:row>
    <x:row r="637" ht="48" customHeight="1">
      <x:c r="A637" s="27" t="str">
        <x:v>801770</x:v>
      </x:c>
      <x:c r="B637" s="27" t="str">
        <x:v>通信</x:v>
      </x:c>
      <x:c r="C637" s="27" t="n">
        <x:v>6</x:v>
      </x:c>
      <x:c r="D637" s="27" t="str">
        <x:v>2090716969</x:v>
      </x:c>
      <x:c r="E637" s="28" t="str">
        <x:v>进出口金额(美元):电话机;其他声音、图像或其他数据用设备(8517):当月值</x:v>
      </x:c>
      <x:c r="F637" s="28" t="str">
        <x:v>Import And Export Value (USD): Telephone;Other Devices For Sound, Image Or Other Data(8517): Current Month Value</x:v>
      </x:c>
      <x:c r="G637" s="27" t="str">
        <x:v>月</x:v>
      </x:c>
      <x:c r="H637" s="27" t="str">
        <x:v>美元</x:v>
      </x:c>
      <x:c r="I637" s="27" t="str">
        <x:v>当期值</x:v>
      </x:c>
      <x:c r="J637" s="27" t="str">
        <x:v>中国</x:v>
      </x:c>
      <x:c r="K637" s="27" t="str">
        <x:v>中国</x:v>
      </x:c>
      <x:c r="L637" s="28" t="str">
        <x:v>海关总署</x:v>
      </x:c>
      <x:c r="M637" s="28" t="str">
        <x:v>getEcoDataIndElectronic</x:v>
      </x:c>
      <x:c r="N637" s="27" t="str">
        <x:v>2015-01-31</x:v>
      </x:c>
      <x:c r="O637" s="27" t="str">
        <x:v>2026-06-30</x:v>
      </x:c>
      <x:c r="P637" s="27" t="str">
        <x:v>持续更新</x:v>
      </x:c>
      <x:c r="Q637" s="27" t="str"/>
      <x:c r="R637" s="28" t="str"/>
    </x:row>
    <x:row r="638" ht="48" customHeight="1">
      <x:c r="A638" s="27" t="str">
        <x:v>801770</x:v>
      </x:c>
      <x:c r="B638" s="27" t="str">
        <x:v>通信</x:v>
      </x:c>
      <x:c r="C638" s="27" t="n">
        <x:v>7</x:v>
      </x:c>
      <x:c r="D638" s="27" t="str">
        <x:v>1040018933</x:v>
      </x:c>
      <x:c r="E638" s="28" t="str">
        <x:v>PPI:电线、电缆、光缆及电工器材制造业(上年同月=100)</x:v>
      </x:c>
      <x:c r="F638" s="28" t="str">
        <x:v>PPI: Wires, Cables, Optical Cables and Electrician Tools and Materials (CYoY=100)</x:v>
      </x:c>
      <x:c r="G638" s="27" t="str">
        <x:v>月</x:v>
      </x:c>
      <x:c r="H638" s="27" t="str">
        <x:v>上年同月=100</x:v>
      </x:c>
      <x:c r="I638" s="27" t="str">
        <x:v>当期值</x:v>
      </x:c>
      <x:c r="J638" s="27" t="str">
        <x:v>全国</x:v>
      </x:c>
      <x:c r="K638" s="27" t="str">
        <x:v>中国</x:v>
      </x:c>
      <x:c r="L638" s="28" t="str">
        <x:v>国家统计局</x:v>
      </x:c>
      <x:c r="M638" s="28" t="str">
        <x:v>getEcoDataChina</x:v>
      </x:c>
      <x:c r="N638" s="27" t="str">
        <x:v>2014-01-31</x:v>
      </x:c>
      <x:c r="O638" s="27" t="str">
        <x:v>2026-06-30</x:v>
      </x:c>
      <x:c r="P638" s="27" t="str">
        <x:v>持续更新</x:v>
      </x:c>
      <x:c r="Q638" s="27" t="str"/>
      <x:c r="R638" s="28" t="str"/>
    </x:row>
    <x:row r="639" ht="48" customHeight="1">
      <x:c r="A639" s="27" t="str">
        <x:v>801770</x:v>
      </x:c>
      <x:c r="B639" s="27" t="str">
        <x:v>通信</x:v>
      </x:c>
      <x:c r="C639" s="27" t="n">
        <x:v>8</x:v>
      </x:c>
      <x:c r="D639" s="27" t="str">
        <x:v>1040018940</x:v>
      </x:c>
      <x:c r="E639" s="28" t="str">
        <x:v>PPI:通信设备制造业(上年同月=100)</x:v>
      </x:c>
      <x:c r="F639" s="28" t="str">
        <x:v>PPI: Communications Equipment (CYoY=100)</x:v>
      </x:c>
      <x:c r="G639" s="27" t="str">
        <x:v>月</x:v>
      </x:c>
      <x:c r="H639" s="27" t="str">
        <x:v>上年同月=100</x:v>
      </x:c>
      <x:c r="I639" s="27" t="str">
        <x:v>当期值</x:v>
      </x:c>
      <x:c r="J639" s="27" t="str">
        <x:v>全国</x:v>
      </x:c>
      <x:c r="K639" s="27" t="str">
        <x:v>中国</x:v>
      </x:c>
      <x:c r="L639" s="28" t="str">
        <x:v>国家统计局</x:v>
      </x:c>
      <x:c r="M639" s="28" t="str">
        <x:v>getEcoDataChina</x:v>
      </x:c>
      <x:c r="N639" s="27" t="str">
        <x:v>2014-01-31</x:v>
      </x:c>
      <x:c r="O639" s="27" t="str">
        <x:v>2026-06-30</x:v>
      </x:c>
      <x:c r="P639" s="27" t="str">
        <x:v>持续更新</x:v>
      </x:c>
      <x:c r="Q639" s="27" t="str"/>
      <x:c r="R639" s="28" t="str"/>
    </x:row>
    <x:row r="640" ht="48" customHeight="1">
      <x:c r="A640" s="27" t="str">
        <x:v>801770</x:v>
      </x:c>
      <x:c r="B640" s="27" t="str">
        <x:v>通信</x:v>
      </x:c>
      <x:c r="C640" s="27" t="n">
        <x:v>9</x:v>
      </x:c>
      <x:c r="D640" s="27" t="str">
        <x:v>2090717306</x:v>
      </x:c>
      <x:c r="E640" s="28" t="str">
        <x:v>贸易差额(美元):光导纤维及光导纤维束;光缆(9001):当月值</x:v>
      </x:c>
      <x:c r="F640" s="28" t="str">
        <x:v>Trade Balance (USD): Optical Fiber And Optical Fiber Bundle;Optical Cable(9001): Current Month Value</x:v>
      </x:c>
      <x:c r="G640" s="27" t="str">
        <x:v>月</x:v>
      </x:c>
      <x:c r="H640" s="27" t="str">
        <x:v>美元</x:v>
      </x:c>
      <x:c r="I640" s="27" t="str">
        <x:v>当期值</x:v>
      </x:c>
      <x:c r="J640" s="27" t="str">
        <x:v>中国</x:v>
      </x:c>
      <x:c r="K640" s="27" t="str">
        <x:v>中国</x:v>
      </x:c>
      <x:c r="L640" s="28" t="str">
        <x:v>海关总署</x:v>
      </x:c>
      <x:c r="M640" s="28" t="str">
        <x:v>getEcoDataIndElectronic</x:v>
      </x:c>
      <x:c r="N640" s="27" t="str">
        <x:v>2017-01-31</x:v>
      </x:c>
      <x:c r="O640" s="27" t="str">
        <x:v>2026-06-30</x:v>
      </x:c>
      <x:c r="P640" s="27" t="str">
        <x:v>持续更新</x:v>
      </x:c>
      <x:c r="Q640" s="27" t="str"/>
      <x:c r="R640" s="28" t="str"/>
    </x:row>
    <x:row r="641" ht="48" customHeight="1">
      <x:c r="A641" s="27" t="str">
        <x:v>801770</x:v>
      </x:c>
      <x:c r="B641" s="27" t="str">
        <x:v>通信</x:v>
      </x:c>
      <x:c r="C641" s="27" t="n">
        <x:v>10</x:v>
      </x:c>
      <x:c r="D641" s="27" t="str">
        <x:v>2090716970</x:v>
      </x:c>
      <x:c r="E641" s="28" t="str">
        <x:v>贸易差额(美元):电话机;其他声音、图像或其他数据用设备(8517):当月值</x:v>
      </x:c>
      <x:c r="F641" s="28" t="str">
        <x:v>Trade Balance (USD): Telephone;Other Devices For Sound, Image Or Other Data(8517): Current Month Value</x:v>
      </x:c>
      <x:c r="G641" s="27" t="str">
        <x:v>月</x:v>
      </x:c>
      <x:c r="H641" s="27" t="str">
        <x:v>美元</x:v>
      </x:c>
      <x:c r="I641" s="27" t="str">
        <x:v>当期值</x:v>
      </x:c>
      <x:c r="J641" s="27" t="str">
        <x:v>中国</x:v>
      </x:c>
      <x:c r="K641" s="27" t="str">
        <x:v>中国</x:v>
      </x:c>
      <x:c r="L641" s="28" t="str">
        <x:v>海关总署</x:v>
      </x:c>
      <x:c r="M641" s="28" t="str">
        <x:v>getEcoDataIndElectronic</x:v>
      </x:c>
      <x:c r="N641" s="27" t="str">
        <x:v>2017-01-31</x:v>
      </x:c>
      <x:c r="O641" s="27" t="str">
        <x:v>2026-06-30</x:v>
      </x:c>
      <x:c r="P641" s="27" t="str">
        <x:v>持续更新</x:v>
      </x:c>
      <x:c r="Q641" s="27" t="str"/>
      <x:c r="R641" s="28" t="str"/>
    </x:row>
    <x:row r="642" ht="48" customHeight="1">
      <x:c r="A642" s="27" t="str">
        <x:v>801770</x:v>
      </x:c>
      <x:c r="B642" s="27" t="str">
        <x:v>通信</x:v>
      </x:c>
      <x:c r="C642" s="27" t="n">
        <x:v>11</x:v>
      </x:c>
      <x:c r="D642" s="27" t="str">
        <x:v>2090717304</x:v>
      </x:c>
      <x:c r="E642" s="28" t="str">
        <x:v>进口金额(美元):光导纤维及光导纤维束;光缆(9001):当月值</x:v>
      </x:c>
      <x:c r="F642" s="28" t="str">
        <x:v>Import Value (USD): Optical Fiber And Optical Fiber Bundle;Optical Cable(9001): Current Month Value</x:v>
      </x:c>
      <x:c r="G642" s="27" t="str">
        <x:v>月</x:v>
      </x:c>
      <x:c r="H642" s="27" t="str">
        <x:v>美元</x:v>
      </x:c>
      <x:c r="I642" s="27" t="str">
        <x:v>当期值</x:v>
      </x:c>
      <x:c r="J642" s="27" t="str">
        <x:v>中国</x:v>
      </x:c>
      <x:c r="K642" s="27" t="str">
        <x:v>中国</x:v>
      </x:c>
      <x:c r="L642" s="28" t="str">
        <x:v>海关总署</x:v>
      </x:c>
      <x:c r="M642" s="28" t="str">
        <x:v>getEcoDataIndElectronic</x:v>
      </x:c>
      <x:c r="N642" s="27" t="str">
        <x:v>2015-01-31</x:v>
      </x:c>
      <x:c r="O642" s="27" t="str">
        <x:v>2026-06-30</x:v>
      </x:c>
      <x:c r="P642" s="27" t="str">
        <x:v>持续更新</x:v>
      </x:c>
      <x:c r="Q642" s="27" t="str"/>
      <x:c r="R642" s="28" t="str"/>
    </x:row>
    <x:row r="643" ht="48" customHeight="1">
      <x:c r="A643" s="27" t="str">
        <x:v>801770</x:v>
      </x:c>
      <x:c r="B643" s="27" t="str">
        <x:v>通信</x:v>
      </x:c>
      <x:c r="C643" s="27" t="n">
        <x:v>12</x:v>
      </x:c>
      <x:c r="D643" s="27" t="str">
        <x:v>2090716968</x:v>
      </x:c>
      <x:c r="E643" s="28" t="str">
        <x:v>进口金额(美元):电话机;其他声音、图像或其他数据用设备(8517):当月值</x:v>
      </x:c>
      <x:c r="F643" s="28" t="str">
        <x:v>Import Value (USD): Telephone;Other Devices For Sound, Image Or Other Data(8517): Current Month Value</x:v>
      </x:c>
      <x:c r="G643" s="27" t="str">
        <x:v>月</x:v>
      </x:c>
      <x:c r="H643" s="27" t="str">
        <x:v>美元</x:v>
      </x:c>
      <x:c r="I643" s="27" t="str">
        <x:v>当期值</x:v>
      </x:c>
      <x:c r="J643" s="27" t="str">
        <x:v>中国</x:v>
      </x:c>
      <x:c r="K643" s="27" t="str">
        <x:v>中国</x:v>
      </x:c>
      <x:c r="L643" s="28" t="str">
        <x:v>海关总署</x:v>
      </x:c>
      <x:c r="M643" s="28" t="str">
        <x:v>getEcoDataIndElectronic</x:v>
      </x:c>
      <x:c r="N643" s="27" t="str">
        <x:v>2015-01-31</x:v>
      </x:c>
      <x:c r="O643" s="27" t="str">
        <x:v>2026-06-30</x:v>
      </x:c>
      <x:c r="P643" s="27" t="str">
        <x:v>持续更新</x:v>
      </x:c>
      <x:c r="Q643" s="27" t="str"/>
      <x:c r="R643" s="28" t="str"/>
    </x:row>
    <x:row r="644" ht="48" customHeight="1">
      <x:c r="A644" s="27" t="str">
        <x:v>801770</x:v>
      </x:c>
      <x:c r="B644" s="27" t="str">
        <x:v>通信</x:v>
      </x:c>
      <x:c r="C644" s="27" t="n">
        <x:v>13</x:v>
      </x:c>
      <x:c r="D644" s="27" t="str">
        <x:v>2090720446</x:v>
      </x:c>
      <x:c r="E644" s="28" t="str">
        <x:v>出口数量:光纤、光纤束及光缆,但8544的货品除外(900110):当月值</x:v>
      </x:c>
      <x:c r="F644" s="28" t="str">
        <x:v>Export Quantity: Optical Fiber, Optical Fiber Bundle And Optical Cable, Except Goods of 8544(900110): Current Month Value</x:v>
      </x:c>
      <x:c r="G644" s="27" t="str">
        <x:v>月</x:v>
      </x:c>
      <x:c r="H644" s="27" t="str">
        <x:v>千克</x:v>
      </x:c>
      <x:c r="I644" s="27" t="str">
        <x:v>当期值</x:v>
      </x:c>
      <x:c r="J644" s="27" t="str">
        <x:v>中国</x:v>
      </x:c>
      <x:c r="K644" s="27" t="str">
        <x:v>中国</x:v>
      </x:c>
      <x:c r="L644" s="28" t="str">
        <x:v>海关总署</x:v>
      </x:c>
      <x:c r="M644" s="28" t="str">
        <x:v>getEcoDataIndElectronic</x:v>
      </x:c>
      <x:c r="N644" s="27" t="str">
        <x:v>2015-01-31</x:v>
      </x:c>
      <x:c r="O644" s="27" t="str">
        <x:v>2026-06-30</x:v>
      </x:c>
      <x:c r="P644" s="27" t="str">
        <x:v>持续更新</x:v>
      </x:c>
      <x:c r="Q644" s="27" t="str"/>
      <x:c r="R644" s="28" t="str"/>
    </x:row>
    <x:row r="645" ht="48" customHeight="1">
      <x:c r="A645" s="27" t="str">
        <x:v>801770</x:v>
      </x:c>
      <x:c r="B645" s="27" t="str">
        <x:v>通信</x:v>
      </x:c>
      <x:c r="C645" s="27" t="n">
        <x:v>14</x:v>
      </x:c>
      <x:c r="D645" s="27" t="str">
        <x:v>2090720226</x:v>
      </x:c>
      <x:c r="E645" s="28" t="str">
        <x:v>出口数量:由每根被覆光纤组成的光缆,(854470):当月值</x:v>
      </x:c>
      <x:c r="F645" s="28" t="str">
        <x:v>Export Quantity: An Optical Cable Consisting of Each Coated Optical Fiber,(854470): Current Month Value</x:v>
      </x:c>
      <x:c r="G645" s="27" t="str">
        <x:v>月</x:v>
      </x:c>
      <x:c r="H645" s="27" t="str">
        <x:v>千克</x:v>
      </x:c>
      <x:c r="I645" s="27" t="str">
        <x:v>当期值</x:v>
      </x:c>
      <x:c r="J645" s="27" t="str">
        <x:v>中国</x:v>
      </x:c>
      <x:c r="K645" s="27" t="str">
        <x:v>中国</x:v>
      </x:c>
      <x:c r="L645" s="28" t="str">
        <x:v>海关总署</x:v>
      </x:c>
      <x:c r="M645" s="28" t="str">
        <x:v>getEcoDataIndElectronic</x:v>
      </x:c>
      <x:c r="N645" s="27" t="str">
        <x:v>2015-01-31</x:v>
      </x:c>
      <x:c r="O645" s="27" t="str">
        <x:v>2026-06-30</x:v>
      </x:c>
      <x:c r="P645" s="27" t="str">
        <x:v>持续更新</x:v>
      </x:c>
      <x:c r="Q645" s="27" t="str"/>
      <x:c r="R645" s="28" t="str"/>
    </x:row>
    <x:row r="646" ht="48" customHeight="1">
      <x:c r="A646" s="27" t="str">
        <x:v>801770</x:v>
      </x:c>
      <x:c r="B646" s="27" t="str">
        <x:v>通信</x:v>
      </x:c>
      <x:c r="C646" s="27" t="n">
        <x:v>15</x:v>
      </x:c>
      <x:c r="D646" s="27" t="str">
        <x:v>2090720439</x:v>
      </x:c>
      <x:c r="E646" s="28" t="str">
        <x:v>出口金额(美元):光纤、光纤束及光缆,但8544的货品除外(900110):当月值</x:v>
      </x:c>
      <x:c r="F646" s="28" t="str">
        <x:v>Export Value (USD): Optical Fiber, Optical Fiber Bundle And Optical Cable, Except Goods of 8544(900110): Current Month Value</x:v>
      </x:c>
      <x:c r="G646" s="27" t="str">
        <x:v>月</x:v>
      </x:c>
      <x:c r="H646" s="27" t="str">
        <x:v>美元</x:v>
      </x:c>
      <x:c r="I646" s="27" t="str">
        <x:v>当期值</x:v>
      </x:c>
      <x:c r="J646" s="27" t="str">
        <x:v>中国</x:v>
      </x:c>
      <x:c r="K646" s="27" t="str">
        <x:v>中国</x:v>
      </x:c>
      <x:c r="L646" s="28" t="str">
        <x:v>海关总署</x:v>
      </x:c>
      <x:c r="M646" s="28" t="str">
        <x:v>getEcoDataIndElectronic</x:v>
      </x:c>
      <x:c r="N646" s="27" t="str">
        <x:v>2015-01-31</x:v>
      </x:c>
      <x:c r="O646" s="27" t="str">
        <x:v>2026-06-30</x:v>
      </x:c>
      <x:c r="P646" s="27" t="str">
        <x:v>持续更新</x:v>
      </x:c>
      <x:c r="Q646" s="27" t="str"/>
      <x:c r="R646" s="28" t="str"/>
    </x:row>
    <x:row r="647" ht="48" customHeight="1">
      <x:c r="A647" s="27" t="str">
        <x:v>801770</x:v>
      </x:c>
      <x:c r="B647" s="27" t="str">
        <x:v>通信</x:v>
      </x:c>
      <x:c r="C647" s="27" t="n">
        <x:v>16</x:v>
      </x:c>
      <x:c r="D647" s="27" t="str">
        <x:v>2090720219</x:v>
      </x:c>
      <x:c r="E647" s="28" t="str">
        <x:v>出口金额(美元):由每根被覆光纤组成的光缆,(854470):当月值</x:v>
      </x:c>
      <x:c r="F647" s="28" t="str">
        <x:v>Export Value (USD): An Optical Cable Consisting of Each Coated Optical Fiber,(854470): Current Month Value</x:v>
      </x:c>
      <x:c r="G647" s="27" t="str">
        <x:v>月</x:v>
      </x:c>
      <x:c r="H647" s="27" t="str">
        <x:v>美元</x:v>
      </x:c>
      <x:c r="I647" s="27" t="str">
        <x:v>当期值</x:v>
      </x:c>
      <x:c r="J647" s="27" t="str">
        <x:v>中国</x:v>
      </x:c>
      <x:c r="K647" s="27" t="str">
        <x:v>中国</x:v>
      </x:c>
      <x:c r="L647" s="28" t="str">
        <x:v>海关总署</x:v>
      </x:c>
      <x:c r="M647" s="28" t="str">
        <x:v>getEcoDataIndElectronic</x:v>
      </x:c>
      <x:c r="N647" s="27" t="str">
        <x:v>2015-01-31</x:v>
      </x:c>
      <x:c r="O647" s="27" t="str">
        <x:v>2026-06-30</x:v>
      </x:c>
      <x:c r="P647" s="27" t="str">
        <x:v>持续更新</x:v>
      </x:c>
      <x:c r="Q647" s="27" t="str"/>
      <x:c r="R647" s="28" t="str"/>
    </x:row>
    <x:row r="648" ht="48" customHeight="1">
      <x:c r="A648" s="27" t="str">
        <x:v>801770</x:v>
      </x:c>
      <x:c r="B648" s="27" t="str">
        <x:v>通信</x:v>
      </x:c>
      <x:c r="C648" s="27" t="n">
        <x:v>17</x:v>
      </x:c>
      <x:c r="D648" s="27" t="str">
        <x:v>2090720448</x:v>
      </x:c>
      <x:c r="E648" s="28" t="str">
        <x:v>进出口数量:光纤、光纤束及光缆,但8544的货品除外(900110):当月值</x:v>
      </x:c>
      <x:c r="F648" s="28" t="str">
        <x:v>Import And Export Quantity: Optical Fiber, Optical Fiber Bundle And Optical Cable, Except Goods of 8544(900110): Current Month Value</x:v>
      </x:c>
      <x:c r="G648" s="27" t="str">
        <x:v>月</x:v>
      </x:c>
      <x:c r="H648" s="27" t="str">
        <x:v>千克</x:v>
      </x:c>
      <x:c r="I648" s="27" t="str">
        <x:v>当期值</x:v>
      </x:c>
      <x:c r="J648" s="27" t="str">
        <x:v>中国</x:v>
      </x:c>
      <x:c r="K648" s="27" t="str">
        <x:v>中国</x:v>
      </x:c>
      <x:c r="L648" s="28" t="str">
        <x:v>海关总署</x:v>
      </x:c>
      <x:c r="M648" s="28" t="str">
        <x:v>getEcoDataIndElectronic</x:v>
      </x:c>
      <x:c r="N648" s="27" t="str">
        <x:v>2015-01-31</x:v>
      </x:c>
      <x:c r="O648" s="27" t="str">
        <x:v>2026-06-30</x:v>
      </x:c>
      <x:c r="P648" s="27" t="str">
        <x:v>持续更新</x:v>
      </x:c>
      <x:c r="Q648" s="27" t="str"/>
      <x:c r="R648" s="28" t="str"/>
    </x:row>
    <x:row r="649" ht="48" customHeight="1">
      <x:c r="A649" s="27" t="str">
        <x:v>801770</x:v>
      </x:c>
      <x:c r="B649" s="27" t="str">
        <x:v>通信</x:v>
      </x:c>
      <x:c r="C649" s="27" t="n">
        <x:v>18</x:v>
      </x:c>
      <x:c r="D649" s="27" t="str">
        <x:v>2090720228</x:v>
      </x:c>
      <x:c r="E649" s="28" t="str">
        <x:v>进出口数量:由每根被覆光纤组成的光缆,(854470):当月值</x:v>
      </x:c>
      <x:c r="F649" s="28" t="str">
        <x:v>Import And Export Quantity: An Optical Cable Consisting of Each Coated Optical Fiber,(854470): Current Month Value</x:v>
      </x:c>
      <x:c r="G649" s="27" t="str">
        <x:v>月</x:v>
      </x:c>
      <x:c r="H649" s="27" t="str">
        <x:v>千克</x:v>
      </x:c>
      <x:c r="I649" s="27" t="str">
        <x:v>当期值</x:v>
      </x:c>
      <x:c r="J649" s="27" t="str">
        <x:v>中国</x:v>
      </x:c>
      <x:c r="K649" s="27" t="str">
        <x:v>中国</x:v>
      </x:c>
      <x:c r="L649" s="28" t="str">
        <x:v>海关总署</x:v>
      </x:c>
      <x:c r="M649" s="28" t="str">
        <x:v>getEcoDataIndElectronic</x:v>
      </x:c>
      <x:c r="N649" s="27" t="str">
        <x:v>2015-01-31</x:v>
      </x:c>
      <x:c r="O649" s="27" t="str">
        <x:v>2026-06-30</x:v>
      </x:c>
      <x:c r="P649" s="27" t="str">
        <x:v>持续更新</x:v>
      </x:c>
      <x:c r="Q649" s="27" t="str"/>
      <x:c r="R649" s="28" t="str"/>
    </x:row>
    <x:row r="650" ht="48" customHeight="1">
      <x:c r="A650" s="27" t="str">
        <x:v>801770</x:v>
      </x:c>
      <x:c r="B650" s="27" t="str">
        <x:v>通信</x:v>
      </x:c>
      <x:c r="C650" s="27" t="n">
        <x:v>19</x:v>
      </x:c>
      <x:c r="D650" s="27" t="str">
        <x:v>2090720441</x:v>
      </x:c>
      <x:c r="E650" s="28" t="str">
        <x:v>进出口金额(美元):光纤、光纤束及光缆,但8544的货品除外(900110):当月值</x:v>
      </x:c>
      <x:c r="F650" s="28" t="str">
        <x:v>Import And Export Value (USD): Optical Fiber, Optical Fiber Bundle And Optical Cable, Except Goods of 8544(900110): Current Month Value</x:v>
      </x:c>
      <x:c r="G650" s="27" t="str">
        <x:v>月</x:v>
      </x:c>
      <x:c r="H650" s="27" t="str">
        <x:v>美元</x:v>
      </x:c>
      <x:c r="I650" s="27" t="str">
        <x:v>当期值</x:v>
      </x:c>
      <x:c r="J650" s="27" t="str">
        <x:v>中国</x:v>
      </x:c>
      <x:c r="K650" s="27" t="str">
        <x:v>中国</x:v>
      </x:c>
      <x:c r="L650" s="28" t="str">
        <x:v>海关总署</x:v>
      </x:c>
      <x:c r="M650" s="28" t="str">
        <x:v>getEcoDataIndElectronic</x:v>
      </x:c>
      <x:c r="N650" s="27" t="str">
        <x:v>2015-01-31</x:v>
      </x:c>
      <x:c r="O650" s="27" t="str">
        <x:v>2026-06-30</x:v>
      </x:c>
      <x:c r="P650" s="27" t="str">
        <x:v>持续更新</x:v>
      </x:c>
      <x:c r="Q650" s="27" t="str"/>
      <x:c r="R650" s="28" t="str"/>
    </x:row>
    <x:row r="651" ht="48" customHeight="1">
      <x:c r="A651" s="27" t="str">
        <x:v>801770</x:v>
      </x:c>
      <x:c r="B651" s="27" t="str">
        <x:v>通信</x:v>
      </x:c>
      <x:c r="C651" s="27" t="n">
        <x:v>20</x:v>
      </x:c>
      <x:c r="D651" s="27" t="str">
        <x:v>2090720221</x:v>
      </x:c>
      <x:c r="E651" s="28" t="str">
        <x:v>进出口金额(美元):由每根被覆光纤组成的光缆,(854470):当月值</x:v>
      </x:c>
      <x:c r="F651" s="28" t="str">
        <x:v>Import And Export Value (USD): An Optical Cable Consisting of Each Coated Optical Fiber,(854470): Current Month Value</x:v>
      </x:c>
      <x:c r="G651" s="27" t="str">
        <x:v>月</x:v>
      </x:c>
      <x:c r="H651" s="27" t="str">
        <x:v>美元</x:v>
      </x:c>
      <x:c r="I651" s="27" t="str">
        <x:v>当期值</x:v>
      </x:c>
      <x:c r="J651" s="27" t="str">
        <x:v>中国</x:v>
      </x:c>
      <x:c r="K651" s="27" t="str">
        <x:v>中国</x:v>
      </x:c>
      <x:c r="L651" s="28" t="str">
        <x:v>海关总署</x:v>
      </x:c>
      <x:c r="M651" s="28" t="str">
        <x:v>getEcoDataIndElectronic</x:v>
      </x:c>
      <x:c r="N651" s="27" t="str">
        <x:v>2015-01-31</x:v>
      </x:c>
      <x:c r="O651" s="27" t="str">
        <x:v>2026-06-30</x:v>
      </x:c>
      <x:c r="P651" s="27" t="str">
        <x:v>持续更新</x:v>
      </x:c>
      <x:c r="Q651" s="27" t="str"/>
      <x:c r="R651" s="28" t="str"/>
    </x:row>
    <x:row r="652" ht="48" customHeight="1">
      <x:c r="A652" s="27" t="str">
        <x:v>801770</x:v>
      </x:c>
      <x:c r="B652" s="27" t="str">
        <x:v>通信</x:v>
      </x:c>
      <x:c r="C652" s="27" t="n">
        <x:v>21</x:v>
      </x:c>
      <x:c r="D652" s="27" t="str">
        <x:v>2090719746</x:v>
      </x:c>
      <x:c r="E652" s="28" t="str">
        <x:v>出口数量:光导纤维、光导纤维束或光缆用连接器(853670):当月值</x:v>
      </x:c>
      <x:c r="F652" s="28" t="str">
        <x:v>Export Quantity: Connector for Optical Fiber, Optical Fiber Bundle or Optical Cable(853670): Current Month Value</x:v>
      </x:c>
      <x:c r="G652" s="27" t="str">
        <x:v>月</x:v>
      </x:c>
      <x:c r="H652" s="27" t="str">
        <x:v>千克</x:v>
      </x:c>
      <x:c r="I652" s="27" t="str">
        <x:v>当期值</x:v>
      </x:c>
      <x:c r="J652" s="27" t="str">
        <x:v>中国</x:v>
      </x:c>
      <x:c r="K652" s="27" t="str">
        <x:v>中国</x:v>
      </x:c>
      <x:c r="L652" s="28" t="str">
        <x:v>海关总署</x:v>
      </x:c>
      <x:c r="M652" s="28" t="str">
        <x:v>getEcoDataIndElectronic</x:v>
      </x:c>
      <x:c r="N652" s="27" t="str">
        <x:v>2015-01-31</x:v>
      </x:c>
      <x:c r="O652" s="27" t="str">
        <x:v>2026-06-30</x:v>
      </x:c>
      <x:c r="P652" s="27" t="str">
        <x:v>持续更新</x:v>
      </x:c>
      <x:c r="Q652" s="27" t="str"/>
      <x:c r="R652" s="28" t="str"/>
    </x:row>
    <x:row r="653" ht="48" customHeight="1">
      <x:c r="A653" s="27" t="str">
        <x:v>801770</x:v>
      </x:c>
      <x:c r="B653" s="27" t="str">
        <x:v>通信</x:v>
      </x:c>
      <x:c r="C653" s="27" t="n">
        <x:v>22</x:v>
      </x:c>
      <x:c r="D653" s="27" t="str">
        <x:v>2087044872</x:v>
      </x:c>
      <x:c r="E653" s="28" t="str">
        <x:v>出口数量:光纤通讯及光纤性能测试仪(90318010):当月值</x:v>
      </x:c>
      <x:c r="F653" s="28" t="str">
        <x:v>Export Quantity: Optical Fiber Communication And Optical Fiber Performance Tester(90318010): Current Month Value</x:v>
      </x:c>
      <x:c r="G653" s="27" t="str">
        <x:v>月</x:v>
      </x:c>
      <x:c r="H653" s="27" t="str">
        <x:v>台</x:v>
      </x:c>
      <x:c r="I653" s="27" t="str">
        <x:v>当期值</x:v>
      </x:c>
      <x:c r="J653" s="27" t="str">
        <x:v>中国</x:v>
      </x:c>
      <x:c r="K653" s="27" t="str">
        <x:v>中国</x:v>
      </x:c>
      <x:c r="L653" s="28" t="str">
        <x:v>海关总署</x:v>
      </x:c>
      <x:c r="M653" s="28" t="str">
        <x:v>getEcoDataIndMachineryequipment</x:v>
      </x:c>
      <x:c r="N653" s="27" t="str">
        <x:v>2015-01-31</x:v>
      </x:c>
      <x:c r="O653" s="27" t="str">
        <x:v>2026-06-30</x:v>
      </x:c>
      <x:c r="P653" s="27" t="str">
        <x:v>持续更新</x:v>
      </x:c>
      <x:c r="Q653" s="27" t="str"/>
      <x:c r="R653" s="28" t="str"/>
    </x:row>
    <x:row r="654" ht="48" customHeight="1">
      <x:c r="A654" s="27" t="str">
        <x:v>801770</x:v>
      </x:c>
      <x:c r="B654" s="27" t="str">
        <x:v>通信</x:v>
      </x:c>
      <x:c r="C654" s="27" t="n">
        <x:v>23</x:v>
      </x:c>
      <x:c r="D654" s="27" t="str">
        <x:v>2090721506</x:v>
      </x:c>
      <x:c r="E654" s="28" t="str">
        <x:v>出口数量:其他基站(85176190):当月值</x:v>
      </x:c>
      <x:c r="F654" s="28" t="str">
        <x:v>Export Quantity: Other Base Stations(85176190): Current Month Value</x:v>
      </x:c>
      <x:c r="G654" s="27" t="str">
        <x:v>月</x:v>
      </x:c>
      <x:c r="H654" s="27" t="str">
        <x:v>台</x:v>
      </x:c>
      <x:c r="I654" s="27" t="str">
        <x:v>当期值</x:v>
      </x:c>
      <x:c r="J654" s="27" t="str">
        <x:v>中国</x:v>
      </x:c>
      <x:c r="K654" s="27" t="str">
        <x:v>中国</x:v>
      </x:c>
      <x:c r="L654" s="28" t="str">
        <x:v>海关总署</x:v>
      </x:c>
      <x:c r="M654" s="28" t="str">
        <x:v>getEcoDataIndElectronic</x:v>
      </x:c>
      <x:c r="N654" s="27" t="str">
        <x:v>2015-01-31</x:v>
      </x:c>
      <x:c r="O654" s="27" t="str">
        <x:v>2026-06-30</x:v>
      </x:c>
      <x:c r="P654" s="27" t="str">
        <x:v>持续更新</x:v>
      </x:c>
      <x:c r="Q654" s="27" t="str"/>
      <x:c r="R654" s="28" t="str"/>
    </x:row>
    <x:row r="655" ht="48" customHeight="1">
      <x:c r="A655" s="27" t="str">
        <x:v>801770</x:v>
      </x:c>
      <x:c r="B655" s="27" t="str">
        <x:v>通信</x:v>
      </x:c>
      <x:c r="C655" s="27" t="n">
        <x:v>24</x:v>
      </x:c>
      <x:c r="D655" s="27" t="str">
        <x:v>2090719010</x:v>
      </x:c>
      <x:c r="E655" s="28" t="str">
        <x:v>出口数量:其他电话机(851718):当月值</x:v>
      </x:c>
      <x:c r="F655" s="28" t="str">
        <x:v>Export Quantity: Other Telephones(851718): Current Month Value</x:v>
      </x:c>
      <x:c r="G655" s="27" t="str">
        <x:v>月</x:v>
      </x:c>
      <x:c r="H655" s="27" t="str">
        <x:v>台</x:v>
      </x:c>
      <x:c r="I655" s="27" t="str">
        <x:v>当期值</x:v>
      </x:c>
      <x:c r="J655" s="27" t="str">
        <x:v>中国</x:v>
      </x:c>
      <x:c r="K655" s="27" t="str">
        <x:v>中国</x:v>
      </x:c>
      <x:c r="L655" s="28" t="str">
        <x:v>海关总署</x:v>
      </x:c>
      <x:c r="M655" s="28" t="str">
        <x:v>getEcoDataIndElectronic</x:v>
      </x:c>
      <x:c r="N655" s="27" t="str">
        <x:v>2015-01-31</x:v>
      </x:c>
      <x:c r="O655" s="27" t="str">
        <x:v>2026-06-30</x:v>
      </x:c>
      <x:c r="P655" s="27" t="str">
        <x:v>持续更新</x:v>
      </x:c>
      <x:c r="Q655" s="27" t="str"/>
      <x:c r="R655" s="28" t="str"/>
    </x:row>
    <x:row r="656" ht="48" customHeight="1">
      <x:c r="A656" s="27" t="str">
        <x:v>801770</x:v>
      </x:c>
      <x:c r="B656" s="27" t="str">
        <x:v>通信</x:v>
      </x:c>
      <x:c r="C656" s="27" t="n">
        <x:v>25</x:v>
      </x:c>
      <x:c r="D656" s="27" t="str">
        <x:v>2090718990</x:v>
      </x:c>
      <x:c r="E656" s="28" t="str">
        <x:v>出口数量:无绳电话机(851711):当月值</x:v>
      </x:c>
      <x:c r="F656" s="28" t="str">
        <x:v>Export Quantity: Cordless Telephone(851711): Current Month Value</x:v>
      </x:c>
      <x:c r="G656" s="27" t="str">
        <x:v>月</x:v>
      </x:c>
      <x:c r="H656" s="27" t="str">
        <x:v>台</x:v>
      </x:c>
      <x:c r="I656" s="27" t="str">
        <x:v>当期值</x:v>
      </x:c>
      <x:c r="J656" s="27" t="str">
        <x:v>中国</x:v>
      </x:c>
      <x:c r="K656" s="27" t="str">
        <x:v>中国</x:v>
      </x:c>
      <x:c r="L656" s="28" t="str">
        <x:v>海关总署</x:v>
      </x:c>
      <x:c r="M656" s="28" t="str">
        <x:v>getEcoDataIndElectronic</x:v>
      </x:c>
      <x:c r="N656" s="27" t="str">
        <x:v>2015-01-31</x:v>
      </x:c>
      <x:c r="O656" s="27" t="str">
        <x:v>2026-06-30</x:v>
      </x:c>
      <x:c r="P656" s="27" t="str">
        <x:v>持续更新</x:v>
      </x:c>
      <x:c r="Q656" s="27" t="str"/>
      <x:c r="R656" s="28" t="str"/>
    </x:row>
    <x:row r="657" ht="48" customHeight="1">
      <x:c r="A657" s="27" t="str">
        <x:v>801770</x:v>
      </x:c>
      <x:c r="B657" s="27" t="str">
        <x:v>通信</x:v>
      </x:c>
      <x:c r="C657" s="27" t="n">
        <x:v>26</x:v>
      </x:c>
      <x:c r="D657" s="27" t="str">
        <x:v>2087036653</x:v>
      </x:c>
      <x:c r="E657" s="28" t="str">
        <x:v>出口数量:玻璃纤维拉丝机(光纤拉丝机除外)(84752912):当月值</x:v>
      </x:c>
      <x:c r="F657" s="28" t="str">
        <x:v>Export Quantity: Glass Fiber Drawing Machine (Except Optical Fiber Drawing Machine)(84752912): Current Month Value</x:v>
      </x:c>
      <x:c r="G657" s="27" t="str">
        <x:v>月</x:v>
      </x:c>
      <x:c r="H657" s="27" t="str">
        <x:v>台</x:v>
      </x:c>
      <x:c r="I657" s="27" t="str">
        <x:v>当期值</x:v>
      </x:c>
      <x:c r="J657" s="27" t="str">
        <x:v>中国</x:v>
      </x:c>
      <x:c r="K657" s="27" t="str">
        <x:v>中国</x:v>
      </x:c>
      <x:c r="L657" s="28" t="str">
        <x:v>海关总署</x:v>
      </x:c>
      <x:c r="M657" s="28" t="str">
        <x:v>getEcoDataIndMachineryequipment</x:v>
      </x:c>
      <x:c r="N657" s="27" t="str">
        <x:v>2015-01-31</x:v>
      </x:c>
      <x:c r="O657" s="27" t="str">
        <x:v>2026-06-30</x:v>
      </x:c>
      <x:c r="P657" s="27" t="str">
        <x:v>持续更新</x:v>
      </x:c>
      <x:c r="Q657" s="27" t="str"/>
      <x:c r="R657" s="28" t="str"/>
    </x:row>
    <x:row r="658" ht="48" customHeight="1">
      <x:c r="A658" s="27" t="str">
        <x:v>801770</x:v>
      </x:c>
      <x:c r="B658" s="27" t="str">
        <x:v>通信</x:v>
      </x:c>
      <x:c r="C658" s="27" t="n">
        <x:v>27</x:v>
      </x:c>
      <x:c r="D658" s="27" t="str">
        <x:v>2090721486</x:v>
      </x:c>
      <x:c r="E658" s="28" t="str">
        <x:v>出口数量:移动通信基站(85176110):当月值</x:v>
      </x:c>
      <x:c r="F658" s="28" t="str">
        <x:v>Export Quantity: Mobile Communication Base Station(85176110): Current Month Value</x:v>
      </x:c>
      <x:c r="G658" s="27" t="str">
        <x:v>月</x:v>
      </x:c>
      <x:c r="H658" s="27" t="str">
        <x:v>台</x:v>
      </x:c>
      <x:c r="I658" s="27" t="str">
        <x:v>当期值</x:v>
      </x:c>
      <x:c r="J658" s="27" t="str">
        <x:v>中国</x:v>
      </x:c>
      <x:c r="K658" s="27" t="str">
        <x:v>中国</x:v>
      </x:c>
      <x:c r="L658" s="28" t="str">
        <x:v>海关总署</x:v>
      </x:c>
      <x:c r="M658" s="28" t="str">
        <x:v>getEcoDataIndElectronic</x:v>
      </x:c>
      <x:c r="N658" s="27" t="str">
        <x:v>2015-01-31</x:v>
      </x:c>
      <x:c r="O658" s="27" t="str">
        <x:v>2026-06-30</x:v>
      </x:c>
      <x:c r="P658" s="27" t="str">
        <x:v>持续更新</x:v>
      </x:c>
      <x:c r="Q658" s="27" t="str"/>
      <x:c r="R658" s="28" t="str"/>
    </x:row>
    <x:row r="659" ht="48" customHeight="1">
      <x:c r="A659" s="27" t="str">
        <x:v>801770</x:v>
      </x:c>
      <x:c r="B659" s="27" t="str">
        <x:v>通信</x:v>
      </x:c>
      <x:c r="C659" s="27" t="n">
        <x:v>28</x:v>
      </x:c>
      <x:c r="D659" s="27" t="str">
        <x:v>2090719739</x:v>
      </x:c>
      <x:c r="E659" s="28" t="str">
        <x:v>出口金额(美元):光导纤维、光导纤维束或光缆用连接器(853670):当月值</x:v>
      </x:c>
      <x:c r="F659" s="28" t="str">
        <x:v>Export Value (USD): Connector for Optical Fiber, Optical Fiber Bundle or Optical Cable(853670): Current Month Value</x:v>
      </x:c>
      <x:c r="G659" s="27" t="str">
        <x:v>月</x:v>
      </x:c>
      <x:c r="H659" s="27" t="str">
        <x:v>美元</x:v>
      </x:c>
      <x:c r="I659" s="27" t="str">
        <x:v>当期值</x:v>
      </x:c>
      <x:c r="J659" s="27" t="str">
        <x:v>中国</x:v>
      </x:c>
      <x:c r="K659" s="27" t="str">
        <x:v>中国</x:v>
      </x:c>
      <x:c r="L659" s="28" t="str">
        <x:v>海关总署</x:v>
      </x:c>
      <x:c r="M659" s="28" t="str">
        <x:v>getEcoDataIndElectronic</x:v>
      </x:c>
      <x:c r="N659" s="27" t="str">
        <x:v>2015-01-31</x:v>
      </x:c>
      <x:c r="O659" s="27" t="str">
        <x:v>2026-06-30</x:v>
      </x:c>
      <x:c r="P659" s="27" t="str">
        <x:v>持续更新</x:v>
      </x:c>
      <x:c r="Q659" s="27" t="str"/>
      <x:c r="R659" s="28" t="str"/>
    </x:row>
    <x:row r="660" ht="48" customHeight="1">
      <x:c r="A660" s="27" t="str">
        <x:v>801770</x:v>
      </x:c>
      <x:c r="B660" s="27" t="str">
        <x:v>通信</x:v>
      </x:c>
      <x:c r="C660" s="27" t="n">
        <x:v>29</x:v>
      </x:c>
      <x:c r="D660" s="27" t="str">
        <x:v>2087044865</x:v>
      </x:c>
      <x:c r="E660" s="28" t="str">
        <x:v>出口金额(美元):光纤通讯及光纤性能测试仪(90318010):当月值</x:v>
      </x:c>
      <x:c r="F660" s="28" t="str">
        <x:v>Export Value (USD): Optical Fiber Communication And Optical Fiber Performance Tester(90318010): Current Month Value</x:v>
      </x:c>
      <x:c r="G660" s="27" t="str">
        <x:v>月</x:v>
      </x:c>
      <x:c r="H660" s="27" t="str">
        <x:v>美元</x:v>
      </x:c>
      <x:c r="I660" s="27" t="str">
        <x:v>当期值</x:v>
      </x:c>
      <x:c r="J660" s="27" t="str">
        <x:v>中国</x:v>
      </x:c>
      <x:c r="K660" s="27" t="str">
        <x:v>中国</x:v>
      </x:c>
      <x:c r="L660" s="28" t="str">
        <x:v>海关总署</x:v>
      </x:c>
      <x:c r="M660" s="28" t="str">
        <x:v>getEcoDataIndMachineryequipment</x:v>
      </x:c>
      <x:c r="N660" s="27" t="str">
        <x:v>2015-01-31</x:v>
      </x:c>
      <x:c r="O660" s="27" t="str">
        <x:v>2026-06-30</x:v>
      </x:c>
      <x:c r="P660" s="27" t="str">
        <x:v>持续更新</x:v>
      </x:c>
      <x:c r="Q660" s="27" t="str"/>
      <x:c r="R660" s="28" t="str"/>
    </x:row>
    <x:row r="661" ht="48" customHeight="1">
      <x:c r="A661" s="27" t="str">
        <x:v>801770</x:v>
      </x:c>
      <x:c r="B661" s="27" t="str">
        <x:v>通信</x:v>
      </x:c>
      <x:c r="C661" s="27" t="n">
        <x:v>30</x:v>
      </x:c>
      <x:c r="D661" s="27" t="str">
        <x:v>2090721499</x:v>
      </x:c>
      <x:c r="E661" s="28" t="str">
        <x:v>出口金额(美元):其他基站(85176190):当月值</x:v>
      </x:c>
      <x:c r="F661" s="28" t="str">
        <x:v>Export Value (USD): Other Base Stations(85176190): Current Month Value</x:v>
      </x:c>
      <x:c r="G661" s="27" t="str">
        <x:v>月</x:v>
      </x:c>
      <x:c r="H661" s="27" t="str">
        <x:v>美元</x:v>
      </x:c>
      <x:c r="I661" s="27" t="str">
        <x:v>当期值</x:v>
      </x:c>
      <x:c r="J661" s="27" t="str">
        <x:v>中国</x:v>
      </x:c>
      <x:c r="K661" s="27" t="str">
        <x:v>中国</x:v>
      </x:c>
      <x:c r="L661" s="28" t="str">
        <x:v>海关总署</x:v>
      </x:c>
      <x:c r="M661" s="28" t="str">
        <x:v>getEcoDataIndElectronic</x:v>
      </x:c>
      <x:c r="N661" s="27" t="str">
        <x:v>2015-01-31</x:v>
      </x:c>
      <x:c r="O661" s="27" t="str">
        <x:v>2026-06-30</x:v>
      </x:c>
      <x:c r="P661" s="27" t="str">
        <x:v>持续更新</x:v>
      </x:c>
      <x:c r="Q661" s="27" t="str"/>
      <x:c r="R661" s="28" t="str"/>
    </x:row>
    <x:row r="662" ht="48" customHeight="1">
      <x:c r="A662" s="27" t="str">
        <x:v>801780</x:v>
      </x:c>
      <x:c r="B662" s="27" t="str">
        <x:v>银行</x:v>
      </x:c>
      <x:c r="C662" s="27" t="n">
        <x:v>1</x:v>
      </x:c>
      <x:c r="D662" s="27" t="str">
        <x:v>1010016038</x:v>
      </x:c>
      <x:c r="E662" s="28" t="str">
        <x:v>宏观经济指标预测:货币和准货币(M2):预测值:同比</x:v>
      </x:c>
      <x:c r="F662" s="28" t="str">
        <x:v>Prediction of Macroeconomic Indicators: Monetary and Quasi Monetary (M2): Predicted Value: YoY</x:v>
      </x:c>
      <x:c r="G662" s="27" t="str">
        <x:v>月</x:v>
      </x:c>
      <x:c r="H662" s="27" t="str">
        <x:v>%</x:v>
      </x:c>
      <x:c r="I662" s="27" t="str">
        <x:v>当期同比</x:v>
      </x:c>
      <x:c r="J662" s="27" t="str">
        <x:v>全国</x:v>
      </x:c>
      <x:c r="K662" s="27" t="str">
        <x:v>中国</x:v>
      </x:c>
      <x:c r="L662" s="28" t="str">
        <x:v>中国经济信息网</x:v>
      </x:c>
      <x:c r="M662" s="28" t="str">
        <x:v>getEcoDataChina</x:v>
      </x:c>
      <x:c r="N662" s="27" t="str">
        <x:v>2011-07-31</x:v>
      </x:c>
      <x:c r="O662" s="27" t="str">
        <x:v>2026-08-31</x:v>
      </x:c>
      <x:c r="P662" s="27" t="str">
        <x:v>持续更新</x:v>
      </x:c>
      <x:c r="Q662" s="27" t="str"/>
      <x:c r="R662" s="28" t="str"/>
    </x:row>
    <x:row r="663" ht="48" customHeight="1">
      <x:c r="A663" s="27" t="str">
        <x:v>801780</x:v>
      </x:c>
      <x:c r="B663" s="27" t="str">
        <x:v>银行</x:v>
      </x:c>
      <x:c r="C663" s="27" t="n">
        <x:v>2</x:v>
      </x:c>
      <x:c r="D663" s="27" t="str">
        <x:v>1030000187</x:v>
      </x:c>
      <x:c r="E663" s="28" t="str">
        <x:v>中型企业贷款需求指数</x:v>
      </x:c>
      <x:c r="F663" s="28" t="str">
        <x:v>Medium-Sized Enterprises Loan Demand Index</x:v>
      </x:c>
      <x:c r="G663" s="27" t="str">
        <x:v>季</x:v>
      </x:c>
      <x:c r="H663" s="27" t="str">
        <x:v>%</x:v>
      </x:c>
      <x:c r="I663" s="27" t="str">
        <x:v>当期值</x:v>
      </x:c>
      <x:c r="J663" s="27" t="str">
        <x:v>全国</x:v>
      </x:c>
      <x:c r="K663" s="27" t="str">
        <x:v>中国</x:v>
      </x:c>
      <x:c r="L663" s="28" t="str">
        <x:v>中国人民银行</x:v>
      </x:c>
      <x:c r="M663" s="28" t="str">
        <x:v>getEcoDataChina</x:v>
      </x:c>
      <x:c r="N663" s="27" t="str">
        <x:v>2012-03-31</x:v>
      </x:c>
      <x:c r="O663" s="27" t="str">
        <x:v>2025-12-31</x:v>
      </x:c>
      <x:c r="P663" s="27" t="str">
        <x:v>持续更新</x:v>
      </x:c>
      <x:c r="Q663" s="27" t="str"/>
      <x:c r="R663" s="28" t="str"/>
    </x:row>
    <x:row r="664" ht="48" customHeight="1">
      <x:c r="A664" s="27" t="str">
        <x:v>801780</x:v>
      </x:c>
      <x:c r="B664" s="27" t="str">
        <x:v>银行</x:v>
      </x:c>
      <x:c r="C664" s="27" t="n">
        <x:v>3</x:v>
      </x:c>
      <x:c r="D664" s="27" t="str">
        <x:v>1030000184</x:v>
      </x:c>
      <x:c r="E664" s="28" t="str">
        <x:v>制造业贷款需求指数</x:v>
      </x:c>
      <x:c r="F664" s="28" t="str">
        <x:v>Manufacturing Loan Demand Index</x:v>
      </x:c>
      <x:c r="G664" s="27" t="str">
        <x:v>季</x:v>
      </x:c>
      <x:c r="H664" s="27" t="str">
        <x:v>%</x:v>
      </x:c>
      <x:c r="I664" s="27" t="str">
        <x:v>当期值</x:v>
      </x:c>
      <x:c r="J664" s="27" t="str">
        <x:v>全国</x:v>
      </x:c>
      <x:c r="K664" s="27" t="str">
        <x:v>中国</x:v>
      </x:c>
      <x:c r="L664" s="28" t="str">
        <x:v>中国人民银行</x:v>
      </x:c>
      <x:c r="M664" s="28" t="str">
        <x:v>getEcoDataChina</x:v>
      </x:c>
      <x:c r="N664" s="27" t="str">
        <x:v>2009-03-31</x:v>
      </x:c>
      <x:c r="O664" s="27" t="str">
        <x:v>2025-12-31</x:v>
      </x:c>
      <x:c r="P664" s="27" t="str">
        <x:v>持续更新</x:v>
      </x:c>
      <x:c r="Q664" s="27" t="str"/>
      <x:c r="R664" s="28" t="str"/>
    </x:row>
    <x:row r="665" ht="48" customHeight="1">
      <x:c r="A665" s="27" t="str">
        <x:v>801780</x:v>
      </x:c>
      <x:c r="B665" s="27" t="str">
        <x:v>银行</x:v>
      </x:c>
      <x:c r="C665" s="27" t="n">
        <x:v>4</x:v>
      </x:c>
      <x:c r="D665" s="27" t="str">
        <x:v>1030002280</x:v>
      </x:c>
      <x:c r="E665" s="28" t="str">
        <x:v>基础设施贷款需求指数</x:v>
      </x:c>
      <x:c r="F665" s="28" t="str">
        <x:v>Infrastructure Loan Demand Index</x:v>
      </x:c>
      <x:c r="G665" s="27" t="str">
        <x:v>季</x:v>
      </x:c>
      <x:c r="H665" s="27" t="str">
        <x:v>%</x:v>
      </x:c>
      <x:c r="I665" s="27" t="str">
        <x:v>当期值</x:v>
      </x:c>
      <x:c r="J665" s="27" t="str">
        <x:v>全国</x:v>
      </x:c>
      <x:c r="K665" s="27" t="str">
        <x:v>中国</x:v>
      </x:c>
      <x:c r="L665" s="28" t="str">
        <x:v>中国人民银行</x:v>
      </x:c>
      <x:c r="M665" s="28" t="str">
        <x:v>getEcoDataChina</x:v>
      </x:c>
      <x:c r="N665" s="27" t="str">
        <x:v>2015-09-30</x:v>
      </x:c>
      <x:c r="O665" s="27" t="str">
        <x:v>2025-12-31</x:v>
      </x:c>
      <x:c r="P665" s="27" t="str">
        <x:v>持续更新</x:v>
      </x:c>
      <x:c r="Q665" s="27" t="str"/>
      <x:c r="R665" s="28" t="str"/>
    </x:row>
    <x:row r="666" ht="48" customHeight="1">
      <x:c r="A666" s="27" t="str">
        <x:v>801780</x:v>
      </x:c>
      <x:c r="B666" s="27" t="str">
        <x:v>银行</x:v>
      </x:c>
      <x:c r="C666" s="27" t="n">
        <x:v>5</x:v>
      </x:c>
      <x:c r="D666" s="27" t="str">
        <x:v>1030000186</x:v>
      </x:c>
      <x:c r="E666" s="28" t="str">
        <x:v>大型企业贷款需求指数</x:v>
      </x:c>
      <x:c r="F666" s="28" t="str">
        <x:v>Large Enterprises Loan Demand Index</x:v>
      </x:c>
      <x:c r="G666" s="27" t="str">
        <x:v>季</x:v>
      </x:c>
      <x:c r="H666" s="27" t="str">
        <x:v>%</x:v>
      </x:c>
      <x:c r="I666" s="27" t="str">
        <x:v>当期值</x:v>
      </x:c>
      <x:c r="J666" s="27" t="str">
        <x:v>全国</x:v>
      </x:c>
      <x:c r="K666" s="27" t="str">
        <x:v>中国</x:v>
      </x:c>
      <x:c r="L666" s="28" t="str">
        <x:v>中国人民银行</x:v>
      </x:c>
      <x:c r="M666" s="28" t="str">
        <x:v>getEcoDataChina</x:v>
      </x:c>
      <x:c r="N666" s="27" t="str">
        <x:v>2012-03-31</x:v>
      </x:c>
      <x:c r="O666" s="27" t="str">
        <x:v>2025-12-31</x:v>
      </x:c>
      <x:c r="P666" s="27" t="str">
        <x:v>持续更新</x:v>
      </x:c>
      <x:c r="Q666" s="27" t="str"/>
      <x:c r="R666" s="28" t="str"/>
    </x:row>
    <x:row r="667" ht="48" customHeight="1">
      <x:c r="A667" s="27" t="str">
        <x:v>801780</x:v>
      </x:c>
      <x:c r="B667" s="27" t="str">
        <x:v>银行</x:v>
      </x:c>
      <x:c r="C667" s="27" t="n">
        <x:v>6</x:v>
      </x:c>
      <x:c r="D667" s="27" t="str">
        <x:v>1030000188</x:v>
      </x:c>
      <x:c r="E667" s="28" t="str">
        <x:v>小微型企业贷款需求指数</x:v>
      </x:c>
      <x:c r="F667" s="28" t="str">
        <x:v>Small and Micro-Sized Enterprise Loan Demand Index</x:v>
      </x:c>
      <x:c r="G667" s="27" t="str">
        <x:v>季</x:v>
      </x:c>
      <x:c r="H667" s="27" t="str">
        <x:v>%</x:v>
      </x:c>
      <x:c r="I667" s="27" t="str">
        <x:v>当期值</x:v>
      </x:c>
      <x:c r="J667" s="27" t="str">
        <x:v>全国</x:v>
      </x:c>
      <x:c r="K667" s="27" t="str">
        <x:v>中国</x:v>
      </x:c>
      <x:c r="L667" s="28" t="str">
        <x:v>中国人民银行</x:v>
      </x:c>
      <x:c r="M667" s="28" t="str">
        <x:v>getEcoDataChina</x:v>
      </x:c>
      <x:c r="N667" s="27" t="str">
        <x:v>2012-03-31</x:v>
      </x:c>
      <x:c r="O667" s="27" t="str">
        <x:v>2025-12-31</x:v>
      </x:c>
      <x:c r="P667" s="27" t="str">
        <x:v>持续更新</x:v>
      </x:c>
      <x:c r="Q667" s="27" t="str"/>
      <x:c r="R667" s="28" t="str"/>
    </x:row>
    <x:row r="668" ht="48" customHeight="1">
      <x:c r="A668" s="27" t="str">
        <x:v>801780</x:v>
      </x:c>
      <x:c r="B668" s="27" t="str">
        <x:v>银行</x:v>
      </x:c>
      <x:c r="C668" s="27" t="n">
        <x:v>7</x:v>
      </x:c>
      <x:c r="D668" s="27" t="str">
        <x:v>1030000183</x:v>
      </x:c>
      <x:c r="E668" s="28" t="str">
        <x:v>贷款需求指数</x:v>
      </x:c>
      <x:c r="F668" s="28" t="str">
        <x:v>Loan Demand Index</x:v>
      </x:c>
      <x:c r="G668" s="27" t="str">
        <x:v>季</x:v>
      </x:c>
      <x:c r="H668" s="27" t="str">
        <x:v>%</x:v>
      </x:c>
      <x:c r="I668" s="27" t="str">
        <x:v>当期值</x:v>
      </x:c>
      <x:c r="J668" s="27" t="str">
        <x:v>全国</x:v>
      </x:c>
      <x:c r="K668" s="27" t="str">
        <x:v>中国</x:v>
      </x:c>
      <x:c r="L668" s="28" t="str">
        <x:v>中国人民银行</x:v>
      </x:c>
      <x:c r="M668" s="28" t="str">
        <x:v>getEcoDataChina</x:v>
      </x:c>
      <x:c r="N668" s="27" t="str">
        <x:v>2004-03-31</x:v>
      </x:c>
      <x:c r="O668" s="27" t="str">
        <x:v>2025-12-31</x:v>
      </x:c>
      <x:c r="P668" s="27" t="str">
        <x:v>持续更新</x:v>
      </x:c>
      <x:c r="Q668" s="27" t="str"/>
      <x:c r="R668" s="28" t="str"/>
    </x:row>
    <x:row r="669" ht="48" customHeight="1">
      <x:c r="A669" s="27" t="str">
        <x:v>801780</x:v>
      </x:c>
      <x:c r="B669" s="27" t="str">
        <x:v>银行</x:v>
      </x:c>
      <x:c r="C669" s="27" t="n">
        <x:v>8</x:v>
      </x:c>
      <x:c r="D669" s="27" t="str">
        <x:v>1030001005</x:v>
      </x:c>
      <x:c r="E669" s="28" t="str">
        <x:v>货币政策感受指数</x:v>
      </x:c>
      <x:c r="F669" s="28" t="str">
        <x:v>Monetary Policy Sensory Index</x:v>
      </x:c>
      <x:c r="G669" s="27" t="str">
        <x:v>季</x:v>
      </x:c>
      <x:c r="H669" s="27" t="str">
        <x:v>%</x:v>
      </x:c>
      <x:c r="I669" s="27" t="str">
        <x:v>当期值</x:v>
      </x:c>
      <x:c r="J669" s="27" t="str">
        <x:v>全国</x:v>
      </x:c>
      <x:c r="K669" s="27" t="str">
        <x:v>中国</x:v>
      </x:c>
      <x:c r="L669" s="28" t="str">
        <x:v>中国人民银行</x:v>
      </x:c>
      <x:c r="M669" s="28" t="str">
        <x:v>getEcoDataChina</x:v>
      </x:c>
      <x:c r="N669" s="27" t="str">
        <x:v>2012-09-30</x:v>
      </x:c>
      <x:c r="O669" s="27" t="str">
        <x:v>2025-12-31</x:v>
      </x:c>
      <x:c r="P669" s="27" t="str">
        <x:v>持续更新</x:v>
      </x:c>
      <x:c r="Q669" s="27" t="str"/>
      <x:c r="R669" s="28" t="str"/>
    </x:row>
    <x:row r="670" ht="48" customHeight="1">
      <x:c r="A670" s="27" t="str">
        <x:v>801780</x:v>
      </x:c>
      <x:c r="B670" s="27" t="str">
        <x:v>银行</x:v>
      </x:c>
      <x:c r="C670" s="27" t="n">
        <x:v>9</x:v>
      </x:c>
      <x:c r="D670" s="27" t="str">
        <x:v>1030000182</x:v>
      </x:c>
      <x:c r="E670" s="28" t="str">
        <x:v>货币政策感受指数:偏松</x:v>
      </x:c>
      <x:c r="F670" s="28" t="str">
        <x:v>Monetary Policy Sentiment Index:Loose</x:v>
      </x:c>
      <x:c r="G670" s="27" t="str">
        <x:v>季</x:v>
      </x:c>
      <x:c r="H670" s="27" t="str">
        <x:v>%</x:v>
      </x:c>
      <x:c r="I670" s="27" t="str">
        <x:v>当期值</x:v>
      </x:c>
      <x:c r="J670" s="27" t="str">
        <x:v>全国</x:v>
      </x:c>
      <x:c r="K670" s="27" t="str">
        <x:v>中国</x:v>
      </x:c>
      <x:c r="L670" s="28" t="str">
        <x:v>中国人民银行</x:v>
      </x:c>
      <x:c r="M670" s="28" t="str">
        <x:v>getEcoDataChina</x:v>
      </x:c>
      <x:c r="N670" s="27" t="str">
        <x:v>2014-12-31</x:v>
      </x:c>
      <x:c r="O670" s="27" t="str">
        <x:v>2025-12-31</x:v>
      </x:c>
      <x:c r="P670" s="27" t="str">
        <x:v>持续更新</x:v>
      </x:c>
      <x:c r="Q670" s="27" t="str"/>
      <x:c r="R670" s="28" t="str"/>
    </x:row>
    <x:row r="671" ht="48" customHeight="1">
      <x:c r="A671" s="27" t="str">
        <x:v>801780</x:v>
      </x:c>
      <x:c r="B671" s="27" t="str">
        <x:v>银行</x:v>
      </x:c>
      <x:c r="C671" s="27" t="n">
        <x:v>10</x:v>
      </x:c>
      <x:c r="D671" s="27" t="str">
        <x:v>1030000181</x:v>
      </x:c>
      <x:c r="E671" s="28" t="str">
        <x:v>货币政策感受指数:适度</x:v>
      </x:c>
      <x:c r="F671" s="28" t="str">
        <x:v>Monetary Policy Sentiment Index:Moderate</x:v>
      </x:c>
      <x:c r="G671" s="27" t="str">
        <x:v>季</x:v>
      </x:c>
      <x:c r="H671" s="27" t="str">
        <x:v>%</x:v>
      </x:c>
      <x:c r="I671" s="27" t="str">
        <x:v>当期值</x:v>
      </x:c>
      <x:c r="J671" s="27" t="str">
        <x:v>全国</x:v>
      </x:c>
      <x:c r="K671" s="27" t="str">
        <x:v>中国</x:v>
      </x:c>
      <x:c r="L671" s="28" t="str">
        <x:v>中国人民银行</x:v>
      </x:c>
      <x:c r="M671" s="28" t="str">
        <x:v>getEcoDataChina</x:v>
      </x:c>
      <x:c r="N671" s="27" t="str">
        <x:v>2004-03-31</x:v>
      </x:c>
      <x:c r="O671" s="27" t="str">
        <x:v>2025-12-31</x:v>
      </x:c>
      <x:c r="P671" s="27" t="str">
        <x:v>持续更新</x:v>
      </x:c>
      <x:c r="Q671" s="27" t="str"/>
      <x:c r="R671" s="28" t="str"/>
    </x:row>
    <x:row r="672" ht="48" customHeight="1">
      <x:c r="A672" s="27" t="str">
        <x:v>801780</x:v>
      </x:c>
      <x:c r="B672" s="27" t="str">
        <x:v>银行</x:v>
      </x:c>
      <x:c r="C672" s="27" t="n">
        <x:v>11</x:v>
      </x:c>
      <x:c r="D672" s="27" t="str">
        <x:v>2170744856</x:v>
      </x:c>
      <x:c r="E672" s="28" t="str">
        <x:v>个人住房贷款余额:同比</x:v>
      </x:c>
      <x:c r="F672" s="28" t="str">
        <x:v>Loan Balance of Individual Housing: YoY</x:v>
      </x:c>
      <x:c r="G672" s="27" t="str">
        <x:v>季</x:v>
      </x:c>
      <x:c r="H672" s="27" t="str">
        <x:v>%</x:v>
      </x:c>
      <x:c r="I672" s="27" t="str">
        <x:v>当期同比</x:v>
      </x:c>
      <x:c r="J672" s="27" t="str">
        <x:v>全国</x:v>
      </x:c>
      <x:c r="K672" s="27" t="str">
        <x:v>中国</x:v>
      </x:c>
      <x:c r="L672" s="28" t="str">
        <x:v>中国人民银行</x:v>
      </x:c>
      <x:c r="M672" s="28" t="str">
        <x:v>getEcoDataIndRealestate</x:v>
      </x:c>
      <x:c r="N672" s="27" t="str">
        <x:v>2005-06-30</x:v>
      </x:c>
      <x:c r="O672" s="27" t="str">
        <x:v>2026-03-31</x:v>
      </x:c>
      <x:c r="P672" s="27" t="str">
        <x:v>持续更新</x:v>
      </x:c>
      <x:c r="Q672" s="27" t="str"/>
      <x:c r="R672" s="28" t="str"/>
    </x:row>
    <x:row r="673" ht="48" customHeight="1">
      <x:c r="A673" s="27" t="str">
        <x:v>801780</x:v>
      </x:c>
      <x:c r="B673" s="27" t="str">
        <x:v>银行</x:v>
      </x:c>
      <x:c r="C673" s="27" t="n">
        <x:v>12</x:v>
      </x:c>
      <x:c r="D673" s="27" t="str">
        <x:v>2170002073</x:v>
      </x:c>
      <x:c r="E673" s="28" t="str">
        <x:v>商业性房地产贷款余额</x:v>
      </x:c>
      <x:c r="F673" s="28" t="str">
        <x:v>Loan Balance Of Commercial Real Estate</x:v>
      </x:c>
      <x:c r="G673" s="27" t="str">
        <x:v>季</x:v>
      </x:c>
      <x:c r="H673" s="27" t="str">
        <x:v>亿元</x:v>
      </x:c>
      <x:c r="I673" s="27" t="str">
        <x:v>当期值</x:v>
      </x:c>
      <x:c r="J673" s="27" t="str">
        <x:v>全国</x:v>
      </x:c>
      <x:c r="K673" s="27" t="str">
        <x:v>中国</x:v>
      </x:c>
      <x:c r="L673" s="28" t="str">
        <x:v>中国人民银行</x:v>
      </x:c>
      <x:c r="M673" s="28" t="str">
        <x:v>getEcoDataIndRealestate</x:v>
      </x:c>
      <x:c r="N673" s="27" t="str">
        <x:v>2004-12-31</x:v>
      </x:c>
      <x:c r="O673" s="27" t="str">
        <x:v>2026-03-31</x:v>
      </x:c>
      <x:c r="P673" s="27" t="str">
        <x:v>持续更新</x:v>
      </x:c>
      <x:c r="Q673" s="27" t="str"/>
      <x:c r="R673" s="28" t="str"/>
    </x:row>
    <x:row r="674" ht="48" customHeight="1">
      <x:c r="A674" s="27" t="str">
        <x:v>801780</x:v>
      </x:c>
      <x:c r="B674" s="27" t="str">
        <x:v>银行</x:v>
      </x:c>
      <x:c r="C674" s="27" t="n">
        <x:v>13</x:v>
      </x:c>
      <x:c r="D674" s="27" t="str">
        <x:v>2170002074</x:v>
      </x:c>
      <x:c r="E674" s="28" t="str">
        <x:v>商业性房地产贷款余额:当季同比</x:v>
      </x:c>
      <x:c r="F674" s="28" t="str">
        <x:v>Loan Balance Of Commercial Real Estate: YoY</x:v>
      </x:c>
      <x:c r="G674" s="27" t="str">
        <x:v>季</x:v>
      </x:c>
      <x:c r="H674" s="27" t="str">
        <x:v>%</x:v>
      </x:c>
      <x:c r="I674" s="27" t="str">
        <x:v>当期同比</x:v>
      </x:c>
      <x:c r="J674" s="27" t="str"/>
      <x:c r="K674" s="27" t="str">
        <x:v>中国</x:v>
      </x:c>
      <x:c r="L674" s="28" t="str">
        <x:v>中国人民银行</x:v>
      </x:c>
      <x:c r="M674" s="28" t="str">
        <x:v>getEcoDataIndRealestate</x:v>
      </x:c>
      <x:c r="N674" s="27" t="str">
        <x:v>2004-12-31</x:v>
      </x:c>
      <x:c r="O674" s="27" t="str">
        <x:v>2026-03-31</x:v>
      </x:c>
      <x:c r="P674" s="27" t="str">
        <x:v>持续更新</x:v>
      </x:c>
      <x:c r="Q674" s="27" t="str"/>
      <x:c r="R674" s="28" t="str"/>
    </x:row>
    <x:row r="675" ht="48" customHeight="1">
      <x:c r="A675" s="27" t="str">
        <x:v>801780</x:v>
      </x:c>
      <x:c r="B675" s="27" t="str">
        <x:v>银行</x:v>
      </x:c>
      <x:c r="C675" s="27" t="n">
        <x:v>14</x:v>
      </x:c>
      <x:c r="D675" s="27" t="str">
        <x:v>3190000039</x:v>
      </x:c>
      <x:c r="E675" s="28" t="str">
        <x:v>南非:M1:同比</x:v>
      </x:c>
      <x:c r="F675" s="28" t="str">
        <x:v>South Africa: M1:YoY</x:v>
      </x:c>
      <x:c r="G675" s="27" t="str">
        <x:v>月</x:v>
      </x:c>
      <x:c r="H675" s="27" t="str">
        <x:v>%</x:v>
      </x:c>
      <x:c r="I675" s="27" t="str">
        <x:v>当期同比</x:v>
      </x:c>
      <x:c r="J675" s="27" t="str">
        <x:v>南非</x:v>
      </x:c>
      <x:c r="K675" s="27" t="str">
        <x:v>南非</x:v>
      </x:c>
      <x:c r="L675" s="28" t="str">
        <x:v>南非储备银行</x:v>
      </x:c>
      <x:c r="M675" s="28" t="str">
        <x:v>getEcoDataGlobeRest</x:v>
      </x:c>
      <x:c r="N675" s="27" t="str">
        <x:v>1966-03-31</x:v>
      </x:c>
      <x:c r="O675" s="27" t="str">
        <x:v>2026-06-30</x:v>
      </x:c>
      <x:c r="P675" s="27" t="str">
        <x:v>持续更新</x:v>
      </x:c>
      <x:c r="Q675" s="27" t="str"/>
      <x:c r="R675" s="28" t="str"/>
    </x:row>
    <x:row r="676" ht="48" customHeight="1">
      <x:c r="A676" s="27" t="str">
        <x:v>801780</x:v>
      </x:c>
      <x:c r="B676" s="27" t="str">
        <x:v>银行</x:v>
      </x:c>
      <x:c r="C676" s="27" t="n">
        <x:v>15</x:v>
      </x:c>
      <x:c r="D676" s="27" t="str">
        <x:v>3190000040</x:v>
      </x:c>
      <x:c r="E676" s="28" t="str">
        <x:v>南非:M2:同比</x:v>
      </x:c>
      <x:c r="F676" s="28" t="str">
        <x:v>South Africa: M2:YoY</x:v>
      </x:c>
      <x:c r="G676" s="27" t="str">
        <x:v>月</x:v>
      </x:c>
      <x:c r="H676" s="27" t="str">
        <x:v>%</x:v>
      </x:c>
      <x:c r="I676" s="27" t="str">
        <x:v>当期同比</x:v>
      </x:c>
      <x:c r="J676" s="27" t="str">
        <x:v>南非</x:v>
      </x:c>
      <x:c r="K676" s="27" t="str">
        <x:v>南非</x:v>
      </x:c>
      <x:c r="L676" s="28" t="str">
        <x:v>南非储备银行</x:v>
      </x:c>
      <x:c r="M676" s="28" t="str">
        <x:v>getEcoDataGlobeRest</x:v>
      </x:c>
      <x:c r="N676" s="27" t="str">
        <x:v>1966-03-31</x:v>
      </x:c>
      <x:c r="O676" s="27" t="str">
        <x:v>2026-06-30</x:v>
      </x:c>
      <x:c r="P676" s="27" t="str">
        <x:v>持续更新</x:v>
      </x:c>
      <x:c r="Q676" s="27" t="str"/>
      <x:c r="R676" s="28" t="str"/>
    </x:row>
    <x:row r="677" ht="48" customHeight="1">
      <x:c r="A677" s="27" t="str">
        <x:v>801780</x:v>
      </x:c>
      <x:c r="B677" s="27" t="str">
        <x:v>银行</x:v>
      </x:c>
      <x:c r="C677" s="27" t="n">
        <x:v>16</x:v>
      </x:c>
      <x:c r="D677" s="27" t="str">
        <x:v>3230000058</x:v>
      </x:c>
      <x:c r="E677" s="28" t="str">
        <x:v>泰国:M2:同比</x:v>
      </x:c>
      <x:c r="F677" s="28" t="str">
        <x:v>Thailand: M2: YoY</x:v>
      </x:c>
      <x:c r="G677" s="27" t="str">
        <x:v>月</x:v>
      </x:c>
      <x:c r="H677" s="27" t="str">
        <x:v>%</x:v>
      </x:c>
      <x:c r="I677" s="27" t="str">
        <x:v>当期同比</x:v>
      </x:c>
      <x:c r="J677" s="27" t="str">
        <x:v>泰国</x:v>
      </x:c>
      <x:c r="K677" s="27" t="str">
        <x:v>泰国</x:v>
      </x:c>
      <x:c r="L677" s="28" t="str">
        <x:v>泰国央行</x:v>
      </x:c>
      <x:c r="M677" s="28" t="str">
        <x:v>getEcoDataGlobeRest</x:v>
      </x:c>
      <x:c r="N677" s="27" t="str">
        <x:v>1998-01-31</x:v>
      </x:c>
      <x:c r="O677" s="27" t="str">
        <x:v>2026-06-30</x:v>
      </x:c>
      <x:c r="P677" s="27" t="str">
        <x:v>持续更新</x:v>
      </x:c>
      <x:c r="Q677" s="27" t="str"/>
      <x:c r="R677" s="28" t="str"/>
    </x:row>
    <x:row r="678" ht="48" customHeight="1">
      <x:c r="A678" s="27" t="str">
        <x:v>801780</x:v>
      </x:c>
      <x:c r="B678" s="27" t="str">
        <x:v>银行</x:v>
      </x:c>
      <x:c r="C678" s="27" t="n">
        <x:v>17</x:v>
      </x:c>
      <x:c r="D678" s="27" t="str">
        <x:v>3220000036</x:v>
      </x:c>
      <x:c r="E678" s="28" t="str">
        <x:v>土耳其:M1</x:v>
      </x:c>
      <x:c r="F678" s="28" t="str">
        <x:v>Turkey: M1</x:v>
      </x:c>
      <x:c r="G678" s="27" t="str">
        <x:v>周</x:v>
      </x:c>
      <x:c r="H678" s="27" t="str">
        <x:v>千土耳其里拉</x:v>
      </x:c>
      <x:c r="I678" s="27" t="str">
        <x:v>当期值</x:v>
      </x:c>
      <x:c r="J678" s="27" t="str">
        <x:v>土耳其</x:v>
      </x:c>
      <x:c r="K678" s="27" t="str">
        <x:v>土耳其</x:v>
      </x:c>
      <x:c r="L678" s="28" t="str">
        <x:v>土耳其央行</x:v>
      </x:c>
      <x:c r="M678" s="28" t="str">
        <x:v>getEcoDataGlobeRest</x:v>
      </x:c>
      <x:c r="N678" s="27" t="str">
        <x:v>2005-12-30</x:v>
      </x:c>
      <x:c r="O678" s="27" t="str">
        <x:v>2026-07-24</x:v>
      </x:c>
      <x:c r="P678" s="27" t="str">
        <x:v>持续更新</x:v>
      </x:c>
      <x:c r="Q678" s="27" t="str"/>
      <x:c r="R678" s="28" t="str"/>
    </x:row>
    <x:row r="679" ht="48" customHeight="1">
      <x:c r="A679" s="27" t="str">
        <x:v>801780</x:v>
      </x:c>
      <x:c r="B679" s="27" t="str">
        <x:v>银行</x:v>
      </x:c>
      <x:c r="C679" s="27" t="n">
        <x:v>18</x:v>
      </x:c>
      <x:c r="D679" s="27" t="str">
        <x:v>3220000037</x:v>
      </x:c>
      <x:c r="E679" s="28" t="str">
        <x:v>土耳其:M2</x:v>
      </x:c>
      <x:c r="F679" s="28" t="str">
        <x:v>Turkey: M2</x:v>
      </x:c>
      <x:c r="G679" s="27" t="str">
        <x:v>周</x:v>
      </x:c>
      <x:c r="H679" s="27" t="str">
        <x:v>千土耳其里拉</x:v>
      </x:c>
      <x:c r="I679" s="27" t="str">
        <x:v>当期值</x:v>
      </x:c>
      <x:c r="J679" s="27" t="str">
        <x:v>土耳其</x:v>
      </x:c>
      <x:c r="K679" s="27" t="str">
        <x:v>土耳其</x:v>
      </x:c>
      <x:c r="L679" s="28" t="str">
        <x:v>土耳其央行</x:v>
      </x:c>
      <x:c r="M679" s="28" t="str">
        <x:v>getEcoDataGlobeRest</x:v>
      </x:c>
      <x:c r="N679" s="27" t="str">
        <x:v>2005-12-30</x:v>
      </x:c>
      <x:c r="O679" s="27" t="str">
        <x:v>2026-07-24</x:v>
      </x:c>
      <x:c r="P679" s="27" t="str">
        <x:v>持续更新</x:v>
      </x:c>
      <x:c r="Q679" s="27" t="str"/>
      <x:c r="R679" s="28" t="str"/>
    </x:row>
    <x:row r="680" ht="48" customHeight="1">
      <x:c r="A680" s="27" t="str">
        <x:v>801780</x:v>
      </x:c>
      <x:c r="B680" s="27" t="str">
        <x:v>银行</x:v>
      </x:c>
      <x:c r="C680" s="27" t="n">
        <x:v>19</x:v>
      </x:c>
      <x:c r="D680" s="27" t="str">
        <x:v>3020203914</x:v>
      </x:c>
      <x:c r="E680" s="28" t="str">
        <x:v>土耳其:营建许可:多户型住房:有效建筑面积:同比:原始数据</x:v>
      </x:c>
      <x:c r="F680" s="28" t="str">
        <x:v>building permits(quartely data):two-and more dweling buildings:building permits-m2 of useful fllor area:Unadjusted data (i.e. neither seasonally adjusted nor calendar adjusted data):index,2010=100:Turkey</x:v>
      </x:c>
      <x:c r="G680" s="27" t="str">
        <x:v>季</x:v>
      </x:c>
      <x:c r="H680" s="27" t="str">
        <x:v>%</x:v>
      </x:c>
      <x:c r="I680" s="27" t="str">
        <x:v>当期同比</x:v>
      </x:c>
      <x:c r="J680" s="27" t="str">
        <x:v>土耳其</x:v>
      </x:c>
      <x:c r="K680" s="27" t="str">
        <x:v>土耳其</x:v>
      </x:c>
      <x:c r="L680" s="28" t="str">
        <x:v>欧盟统计局</x:v>
      </x:c>
      <x:c r="M680" s="28" t="str">
        <x:v>getEcoDataGlobeEu</x:v>
      </x:c>
      <x:c r="N680" s="27" t="str">
        <x:v>1993-03-31</x:v>
      </x:c>
      <x:c r="O680" s="27" t="str">
        <x:v>2025-12-31</x:v>
      </x:c>
      <x:c r="P680" s="27" t="str">
        <x:v>持续更新</x:v>
      </x:c>
      <x:c r="Q680" s="27" t="str"/>
      <x:c r="R680" s="28" t="str"/>
    </x:row>
    <x:row r="681" ht="48" customHeight="1">
      <x:c r="A681" s="27" t="str">
        <x:v>801780</x:v>
      </x:c>
      <x:c r="B681" s="27" t="str">
        <x:v>银行</x:v>
      </x:c>
      <x:c r="C681" s="27" t="n">
        <x:v>20</x:v>
      </x:c>
      <x:c r="D681" s="27" t="str">
        <x:v>3230000056</x:v>
      </x:c>
      <x:c r="E681" s="28" t="str">
        <x:v>泰国:M2:狭义货币(M1)</x:v>
      </x:c>
      <x:c r="F681" s="28" t="str">
        <x:v>Thailand: M2: Narrow Money (M1)</x:v>
      </x:c>
      <x:c r="G681" s="27" t="str">
        <x:v>月</x:v>
      </x:c>
      <x:c r="H681" s="27" t="str">
        <x:v>百万泰铢</x:v>
      </x:c>
      <x:c r="I681" s="27" t="str">
        <x:v>当期值</x:v>
      </x:c>
      <x:c r="J681" s="27" t="str">
        <x:v>泰国</x:v>
      </x:c>
      <x:c r="K681" s="27" t="str">
        <x:v>泰国</x:v>
      </x:c>
      <x:c r="L681" s="28" t="str">
        <x:v>泰国央行</x:v>
      </x:c>
      <x:c r="M681" s="28" t="str">
        <x:v>getEcoDataGlobeRest</x:v>
      </x:c>
      <x:c r="N681" s="27" t="str">
        <x:v>1997-01-31</x:v>
      </x:c>
      <x:c r="O681" s="27" t="str">
        <x:v>2026-06-30</x:v>
      </x:c>
      <x:c r="P681" s="27" t="str">
        <x:v>持续更新</x:v>
      </x:c>
      <x:c r="Q681" s="27" t="str"/>
      <x:c r="R681" s="28" t="str"/>
    </x:row>
    <x:row r="682" ht="48" customHeight="1">
      <x:c r="A682" s="27" t="str">
        <x:v>801780</x:v>
      </x:c>
      <x:c r="B682" s="27" t="str">
        <x:v>银行</x:v>
      </x:c>
      <x:c r="C682" s="27" t="n">
        <x:v>21</x:v>
      </x:c>
      <x:c r="D682" s="27" t="str">
        <x:v>3230000057</x:v>
      </x:c>
      <x:c r="E682" s="28" t="str">
        <x:v>泰国:M2:准货币</x:v>
      </x:c>
      <x:c r="F682" s="28" t="str">
        <x:v>Thailand: M2: Quasi-money</x:v>
      </x:c>
      <x:c r="G682" s="27" t="str">
        <x:v>月</x:v>
      </x:c>
      <x:c r="H682" s="27" t="str">
        <x:v>百万泰铢</x:v>
      </x:c>
      <x:c r="I682" s="27" t="str">
        <x:v>当期值</x:v>
      </x:c>
      <x:c r="J682" s="27" t="str">
        <x:v>泰国</x:v>
      </x:c>
      <x:c r="K682" s="27" t="str">
        <x:v>泰国</x:v>
      </x:c>
      <x:c r="L682" s="28" t="str">
        <x:v>泰国央行</x:v>
      </x:c>
      <x:c r="M682" s="28" t="str">
        <x:v>getEcoDataGlobeRest</x:v>
      </x:c>
      <x:c r="N682" s="27" t="str">
        <x:v>1997-01-31</x:v>
      </x:c>
      <x:c r="O682" s="27" t="str">
        <x:v>2026-06-30</x:v>
      </x:c>
      <x:c r="P682" s="27" t="str">
        <x:v>持续更新</x:v>
      </x:c>
      <x:c r="Q682" s="27" t="str"/>
      <x:c r="R682" s="28" t="str"/>
    </x:row>
    <x:row r="683" ht="48" customHeight="1">
      <x:c r="A683" s="27" t="str">
        <x:v>801780</x:v>
      </x:c>
      <x:c r="B683" s="27" t="str">
        <x:v>银行</x:v>
      </x:c>
      <x:c r="C683" s="27" t="n">
        <x:v>22</x:v>
      </x:c>
      <x:c r="D683" s="27" t="str">
        <x:v>3230000055</x:v>
      </x:c>
      <x:c r="E683" s="28" t="str">
        <x:v>泰国:广义货币(M2)</x:v>
      </x:c>
      <x:c r="F683" s="28" t="str">
        <x:v>Thailand: Broad Money (M2)</x:v>
      </x:c>
      <x:c r="G683" s="27" t="str">
        <x:v>月</x:v>
      </x:c>
      <x:c r="H683" s="27" t="str">
        <x:v>百万泰铢</x:v>
      </x:c>
      <x:c r="I683" s="27" t="str">
        <x:v>当期值</x:v>
      </x:c>
      <x:c r="J683" s="27" t="str">
        <x:v>泰国</x:v>
      </x:c>
      <x:c r="K683" s="27" t="str">
        <x:v>泰国</x:v>
      </x:c>
      <x:c r="L683" s="28" t="str">
        <x:v>泰国央行</x:v>
      </x:c>
      <x:c r="M683" s="28" t="str">
        <x:v>getEcoDataGlobeRest</x:v>
      </x:c>
      <x:c r="N683" s="27" t="str">
        <x:v>1997-01-31</x:v>
      </x:c>
      <x:c r="O683" s="27" t="str">
        <x:v>2026-06-30</x:v>
      </x:c>
      <x:c r="P683" s="27" t="str">
        <x:v>持续更新</x:v>
      </x:c>
      <x:c r="Q683" s="27" t="str"/>
      <x:c r="R683" s="28" t="str"/>
    </x:row>
    <x:row r="684" ht="48" customHeight="1">
      <x:c r="A684" s="27" t="str">
        <x:v>801780</x:v>
      </x:c>
      <x:c r="B684" s="27" t="str">
        <x:v>银行</x:v>
      </x:c>
      <x:c r="C684" s="27" t="n">
        <x:v>23</x:v>
      </x:c>
      <x:c r="D684" s="27" t="str">
        <x:v>3130000014</x:v>
      </x:c>
      <x:c r="E684" s="28" t="str">
        <x:v>瑞士:M1</x:v>
      </x:c>
      <x:c r="F684" s="28" t="str">
        <x:v>Switzerland: M1</x:v>
      </x:c>
      <x:c r="G684" s="27" t="str">
        <x:v>月</x:v>
      </x:c>
      <x:c r="H684" s="27" t="str">
        <x:v>十亿瑞士法郎</x:v>
      </x:c>
      <x:c r="I684" s="27" t="str">
        <x:v>当期值</x:v>
      </x:c>
      <x:c r="J684" s="27" t="str">
        <x:v>瑞士</x:v>
      </x:c>
      <x:c r="K684" s="27" t="str">
        <x:v>瑞士</x:v>
      </x:c>
      <x:c r="L684" s="28" t="str">
        <x:v>瑞士国际银行</x:v>
      </x:c>
      <x:c r="M684" s="28" t="str">
        <x:v>getEcoDataGlobeRest</x:v>
      </x:c>
      <x:c r="N684" s="27" t="str">
        <x:v>2008-01-31</x:v>
      </x:c>
      <x:c r="O684" s="27" t="str">
        <x:v>2026-05-31</x:v>
      </x:c>
      <x:c r="P684" s="27" t="str">
        <x:v>持续更新</x:v>
      </x:c>
      <x:c r="Q684" s="27" t="str"/>
      <x:c r="R684" s="28" t="str"/>
    </x:row>
    <x:row r="685" ht="48" customHeight="1">
      <x:c r="A685" s="27" t="str">
        <x:v>801780</x:v>
      </x:c>
      <x:c r="B685" s="27" t="str">
        <x:v>银行</x:v>
      </x:c>
      <x:c r="C685" s="27" t="n">
        <x:v>24</x:v>
      </x:c>
      <x:c r="D685" s="27" t="str">
        <x:v>3130000015</x:v>
      </x:c>
      <x:c r="E685" s="28" t="str">
        <x:v>瑞士:M2</x:v>
      </x:c>
      <x:c r="F685" s="28" t="str">
        <x:v>Switzerland: M2</x:v>
      </x:c>
      <x:c r="G685" s="27" t="str">
        <x:v>月</x:v>
      </x:c>
      <x:c r="H685" s="27" t="str">
        <x:v>十亿瑞士法郎</x:v>
      </x:c>
      <x:c r="I685" s="27" t="str">
        <x:v>当期值</x:v>
      </x:c>
      <x:c r="J685" s="27" t="str">
        <x:v>瑞士</x:v>
      </x:c>
      <x:c r="K685" s="27" t="str">
        <x:v>瑞士</x:v>
      </x:c>
      <x:c r="L685" s="28" t="str">
        <x:v>瑞士国际银行</x:v>
      </x:c>
      <x:c r="M685" s="28" t="str">
        <x:v>getEcoDataGlobeRest</x:v>
      </x:c>
      <x:c r="N685" s="27" t="str">
        <x:v>2015-11-30</x:v>
      </x:c>
      <x:c r="O685" s="27" t="str">
        <x:v>2026-05-31</x:v>
      </x:c>
      <x:c r="P685" s="27" t="str">
        <x:v>持续更新</x:v>
      </x:c>
      <x:c r="Q685" s="27" t="str"/>
      <x:c r="R685" s="28" t="str"/>
    </x:row>
    <x:row r="686" ht="48" customHeight="1">
      <x:c r="A686" s="27" t="str">
        <x:v>801780</x:v>
      </x:c>
      <x:c r="B686" s="27" t="str">
        <x:v>银行</x:v>
      </x:c>
      <x:c r="C686" s="27" t="n">
        <x:v>25</x:v>
      </x:c>
      <x:c r="D686" s="27" t="str">
        <x:v>3200000026</x:v>
      </x:c>
      <x:c r="E686" s="28" t="str">
        <x:v>马来西亚:M1</x:v>
      </x:c>
      <x:c r="F686" s="28" t="str">
        <x:v>Malaysia: M1</x:v>
      </x:c>
      <x:c r="G686" s="27" t="str">
        <x:v>月</x:v>
      </x:c>
      <x:c r="H686" s="27" t="str">
        <x:v>百万马来西亚林吉特</x:v>
      </x:c>
      <x:c r="I686" s="27" t="str">
        <x:v>当期值</x:v>
      </x:c>
      <x:c r="J686" s="27" t="str">
        <x:v>马来西亚</x:v>
      </x:c>
      <x:c r="K686" s="27" t="str">
        <x:v>马来西亚</x:v>
      </x:c>
      <x:c r="L686" s="28" t="str">
        <x:v>马来西亚央行</x:v>
      </x:c>
      <x:c r="M686" s="28" t="str">
        <x:v>getEcoDataGlobeRest</x:v>
      </x:c>
      <x:c r="N686" s="27" t="str">
        <x:v>1998-01-31</x:v>
      </x:c>
      <x:c r="O686" s="27" t="str">
        <x:v>2026-06-30</x:v>
      </x:c>
      <x:c r="P686" s="27" t="str">
        <x:v>持续更新</x:v>
      </x:c>
      <x:c r="Q686" s="27" t="str"/>
      <x:c r="R686" s="28" t="str"/>
    </x:row>
    <x:row r="687" ht="48" customHeight="1">
      <x:c r="A687" s="27" t="str">
        <x:v>801780</x:v>
      </x:c>
      <x:c r="B687" s="27" t="str">
        <x:v>银行</x:v>
      </x:c>
      <x:c r="C687" s="27" t="n">
        <x:v>26</x:v>
      </x:c>
      <x:c r="D687" s="27" t="str">
        <x:v>3200000027</x:v>
      </x:c>
      <x:c r="E687" s="28" t="str">
        <x:v>马来西亚:M2</x:v>
      </x:c>
      <x:c r="F687" s="28" t="str">
        <x:v>Malaysia: M2</x:v>
      </x:c>
      <x:c r="G687" s="27" t="str">
        <x:v>月</x:v>
      </x:c>
      <x:c r="H687" s="27" t="str">
        <x:v>百万马来西亚林吉特</x:v>
      </x:c>
      <x:c r="I687" s="27" t="str">
        <x:v>当期值</x:v>
      </x:c>
      <x:c r="J687" s="27" t="str">
        <x:v>马来西亚</x:v>
      </x:c>
      <x:c r="K687" s="27" t="str">
        <x:v>马来西亚</x:v>
      </x:c>
      <x:c r="L687" s="28" t="str">
        <x:v>马来西亚央行</x:v>
      </x:c>
      <x:c r="M687" s="28" t="str">
        <x:v>getEcoDataGlobeRest</x:v>
      </x:c>
      <x:c r="N687" s="27" t="str">
        <x:v>1998-01-31</x:v>
      </x:c>
      <x:c r="O687" s="27" t="str">
        <x:v>2026-06-30</x:v>
      </x:c>
      <x:c r="P687" s="27" t="str">
        <x:v>持续更新</x:v>
      </x:c>
      <x:c r="Q687" s="27" t="str"/>
      <x:c r="R687" s="28" t="str"/>
    </x:row>
    <x:row r="688" ht="48" customHeight="1">
      <x:c r="A688" s="27" t="str">
        <x:v>801780</x:v>
      </x:c>
      <x:c r="B688" s="27" t="str">
        <x:v>银行</x:v>
      </x:c>
      <x:c r="C688" s="27" t="n">
        <x:v>27</x:v>
      </x:c>
      <x:c r="D688" s="27" t="str">
        <x:v>2120734568</x:v>
      </x:c>
      <x:c r="E688" s="28" t="str">
        <x:v>出口数量:其他化纤长丝无纺织物,70g&lt;平方米重≤150g(56031390):当月同比</x:v>
      </x:c>
      <x:c r="F688" s="28" t="str">
        <x:v>Export Quantity: Other Chemical Fiber Filament Non-Woven Fabrics, 70G &lt; M2, Weight ≤ 150G (56031390): MoY</x:v>
      </x:c>
      <x:c r="G688" s="27" t="str">
        <x:v>月</x:v>
      </x:c>
      <x:c r="H688" s="27" t="str">
        <x:v>%</x:v>
      </x:c>
      <x:c r="I688" s="27" t="str">
        <x:v>当期同比</x:v>
      </x:c>
      <x:c r="J688" s="27" t="str">
        <x:v>中国</x:v>
      </x:c>
      <x:c r="K688" s="27" t="str">
        <x:v>中国</x:v>
      </x:c>
      <x:c r="L688" s="28" t="str">
        <x:v>海关总署</x:v>
      </x:c>
      <x:c r="M688" s="28" t="str">
        <x:v>getEcoDataIndTextileclothing</x:v>
      </x:c>
      <x:c r="N688" s="27" t="str">
        <x:v>2016-01-31</x:v>
      </x:c>
      <x:c r="O688" s="27" t="str">
        <x:v>2026-06-30</x:v>
      </x:c>
      <x:c r="P688" s="27" t="str">
        <x:v>持续更新</x:v>
      </x:c>
      <x:c r="Q688" s="27" t="str"/>
      <x:c r="R688" s="28" t="str"/>
    </x:row>
    <x:row r="689" ht="48" customHeight="1">
      <x:c r="A689" s="27" t="str">
        <x:v>801780</x:v>
      </x:c>
      <x:c r="B689" s="27" t="str">
        <x:v>银行</x:v>
      </x:c>
      <x:c r="C689" s="27" t="n">
        <x:v>28</x:v>
      </x:c>
      <x:c r="D689" s="27" t="str">
        <x:v>2130713221</x:v>
      </x:c>
      <x:c r="E689" s="28" t="str">
        <x:v>出口数量:其他未涂布的牛皮纸,150g&lt;平米重&lt;250g(480449):当月同比</x:v>
      </x:c>
      <x:c r="F689" s="28" t="str">
        <x:v>Export Quantity: Other Uncoated Kraft Paper, 150G &lt; M2, Weight &lt; 250G (480449): MoY</x:v>
      </x:c>
      <x:c r="G689" s="27" t="str">
        <x:v>月</x:v>
      </x:c>
      <x:c r="H689" s="27" t="str">
        <x:v>%</x:v>
      </x:c>
      <x:c r="I689" s="27" t="str">
        <x:v>当期同比</x:v>
      </x:c>
      <x:c r="J689" s="27" t="str">
        <x:v>中国</x:v>
      </x:c>
      <x:c r="K689" s="27" t="str">
        <x:v>中国</x:v>
      </x:c>
      <x:c r="L689" s="28" t="str">
        <x:v>海关总署</x:v>
      </x:c>
      <x:c r="M689" s="28" t="str">
        <x:v>getEcoDataIndLightmanufactue</x:v>
      </x:c>
      <x:c r="N689" s="27" t="str">
        <x:v>2016-01-31</x:v>
      </x:c>
      <x:c r="O689" s="27" t="str">
        <x:v>2026-06-30</x:v>
      </x:c>
      <x:c r="P689" s="27" t="str">
        <x:v>持续更新</x:v>
      </x:c>
      <x:c r="Q689" s="27" t="str"/>
      <x:c r="R689" s="28" t="str"/>
    </x:row>
    <x:row r="690" ht="48" customHeight="1">
      <x:c r="A690" s="27" t="str">
        <x:v>801780</x:v>
      </x:c>
      <x:c r="B690" s="27" t="str">
        <x:v>银行</x:v>
      </x:c>
      <x:c r="C690" s="27" t="n">
        <x:v>29</x:v>
      </x:c>
      <x:c r="D690" s="27" t="str">
        <x:v>2130713181</x:v>
      </x:c>
      <x:c r="E690" s="28" t="str">
        <x:v>出口数量:其他未涂未漂白牛皮纸,150g&lt;平米重&lt;250g(480441):当月同比</x:v>
      </x:c>
      <x:c r="F690" s="28" t="str">
        <x:v>Export Quantity: Other Uncoated Unbleached Kraft Paper, 150G &lt; M2, Weight &lt; 250G (480441): MoY</x:v>
      </x:c>
      <x:c r="G690" s="27" t="str">
        <x:v>月</x:v>
      </x:c>
      <x:c r="H690" s="27" t="str">
        <x:v>%</x:v>
      </x:c>
      <x:c r="I690" s="27" t="str">
        <x:v>当期同比</x:v>
      </x:c>
      <x:c r="J690" s="27" t="str">
        <x:v>中国</x:v>
      </x:c>
      <x:c r="K690" s="27" t="str">
        <x:v>中国</x:v>
      </x:c>
      <x:c r="L690" s="28" t="str">
        <x:v>海关总署</x:v>
      </x:c>
      <x:c r="M690" s="28" t="str">
        <x:v>getEcoDataIndLightmanufactue</x:v>
      </x:c>
      <x:c r="N690" s="27" t="str">
        <x:v>2016-01-31</x:v>
      </x:c>
      <x:c r="O690" s="27" t="str">
        <x:v>2026-06-30</x:v>
      </x:c>
      <x:c r="P690" s="27" t="str">
        <x:v>持续更新</x:v>
      </x:c>
      <x:c r="Q690" s="27" t="str"/>
      <x:c r="R690" s="28" t="str"/>
    </x:row>
    <x:row r="691" ht="48" customHeight="1">
      <x:c r="A691" s="27" t="str">
        <x:v>801780</x:v>
      </x:c>
      <x:c r="B691" s="27" t="str">
        <x:v>银行</x:v>
      </x:c>
      <x:c r="C691" s="27" t="n">
        <x:v>30</x:v>
      </x:c>
      <x:c r="D691" s="27" t="str">
        <x:v>2120734728</x:v>
      </x:c>
      <x:c r="E691" s="28" t="str">
        <x:v>出口数量:未浸涂其他材料制无纺布,70g&lt;平米重≤150g(56039390):当月同比</x:v>
      </x:c>
      <x:c r="F691" s="28" t="str">
        <x:v>Export Quantity: Non Woven Fabric Made of Other Materials Without Dip Coating, 70G &lt; M2, Weight ≤ 150G (56039390): MoY</x:v>
      </x:c>
      <x:c r="G691" s="27" t="str">
        <x:v>月</x:v>
      </x:c>
      <x:c r="H691" s="27" t="str">
        <x:v>%</x:v>
      </x:c>
      <x:c r="I691" s="27" t="str">
        <x:v>当期同比</x:v>
      </x:c>
      <x:c r="J691" s="27" t="str">
        <x:v>中国</x:v>
      </x:c>
      <x:c r="K691" s="27" t="str">
        <x:v>中国</x:v>
      </x:c>
      <x:c r="L691" s="28" t="str">
        <x:v>海关总署</x:v>
      </x:c>
      <x:c r="M691" s="28" t="str">
        <x:v>getEcoDataIndTextileclothing</x:v>
      </x:c>
      <x:c r="N691" s="27" t="str">
        <x:v>2016-01-31</x:v>
      </x:c>
      <x:c r="O691" s="27" t="str">
        <x:v>2026-06-30</x:v>
      </x:c>
      <x:c r="P691" s="27" t="str">
        <x:v>持续更新</x:v>
      </x:c>
      <x:c r="Q691" s="27" t="str"/>
      <x:c r="R691" s="28" t="str"/>
    </x:row>
    <x:row r="692" ht="48" customHeight="1">
      <x:c r="A692" s="27" t="str">
        <x:v>801790</x:v>
      </x:c>
      <x:c r="B692" s="27" t="str">
        <x:v>非银金融</x:v>
      </x:c>
      <x:c r="C692" s="27" t="n">
        <x:v>1</x:v>
      </x:c>
      <x:c r="D692" s="27" t="str">
        <x:v>2210900116</x:v>
      </x:c>
      <x:c r="E692" s="28" t="str">
        <x:v>原保险保费收入:人身意外伤害险:累计同比</x:v>
      </x:c>
      <x:c r="F692" s="28" t="str">
        <x:v>Original Insurance Premium Income: The Person Accident Injury Insurance: YoY</x:v>
      </x:c>
      <x:c r="G692" s="27" t="str">
        <x:v>月</x:v>
      </x:c>
      <x:c r="H692" s="27" t="str">
        <x:v>%</x:v>
      </x:c>
      <x:c r="I692" s="27" t="str">
        <x:v>累计同比</x:v>
      </x:c>
      <x:c r="J692" s="27" t="str">
        <x:v>全国</x:v>
      </x:c>
      <x:c r="K692" s="27" t="str">
        <x:v>中国</x:v>
      </x:c>
      <x:c r="L692" s="28" t="str">
        <x:v>中国保险业监督管理委员会</x:v>
      </x:c>
      <x:c r="M692" s="28" t="str">
        <x:v>getEcoDataIndFinancialservices</x:v>
      </x:c>
      <x:c r="N692" s="27" t="str">
        <x:v>2000-01-31</x:v>
      </x:c>
      <x:c r="O692" s="27" t="str">
        <x:v>2026-06-30</x:v>
      </x:c>
      <x:c r="P692" s="27" t="str">
        <x:v>持续更新</x:v>
      </x:c>
      <x:c r="Q692" s="27" t="str"/>
      <x:c r="R692" s="28" t="str"/>
    </x:row>
    <x:row r="693" ht="48" customHeight="1">
      <x:c r="A693" s="27" t="str">
        <x:v>801790</x:v>
      </x:c>
      <x:c r="B693" s="27" t="str">
        <x:v>非银金融</x:v>
      </x:c>
      <x:c r="C693" s="27" t="n">
        <x:v>2</x:v>
      </x:c>
      <x:c r="D693" s="27" t="str">
        <x:v>2210900113</x:v>
      </x:c>
      <x:c r="E693" s="28" t="str">
        <x:v>原保险保费收入:人身险:累计同比</x:v>
      </x:c>
      <x:c r="F693" s="28" t="str">
        <x:v>Original Insurance Premium Income: Personal Insurance: YoY</x:v>
      </x:c>
      <x:c r="G693" s="27" t="str">
        <x:v>月</x:v>
      </x:c>
      <x:c r="H693" s="27" t="str">
        <x:v>%</x:v>
      </x:c>
      <x:c r="I693" s="27" t="str">
        <x:v>累计同比</x:v>
      </x:c>
      <x:c r="J693" s="27" t="str">
        <x:v>全国</x:v>
      </x:c>
      <x:c r="K693" s="27" t="str">
        <x:v>中国</x:v>
      </x:c>
      <x:c r="L693" s="28" t="str">
        <x:v>中国保险业监督管理委员会</x:v>
      </x:c>
      <x:c r="M693" s="28" t="str">
        <x:v>getEcoDataIndFinancialservices</x:v>
      </x:c>
      <x:c r="N693" s="27" t="str">
        <x:v>2000-01-31</x:v>
      </x:c>
      <x:c r="O693" s="27" t="str">
        <x:v>2026-06-30</x:v>
      </x:c>
      <x:c r="P693" s="27" t="str">
        <x:v>持续更新</x:v>
      </x:c>
      <x:c r="Q693" s="27" t="str"/>
      <x:c r="R693" s="28" t="str"/>
    </x:row>
    <x:row r="694" ht="48" customHeight="1">
      <x:c r="A694" s="27" t="str">
        <x:v>801790</x:v>
      </x:c>
      <x:c r="B694" s="27" t="str">
        <x:v>非银金融</x:v>
      </x:c>
      <x:c r="C694" s="27" t="n">
        <x:v>3</x:v>
      </x:c>
      <x:c r="D694" s="27" t="str">
        <x:v>2210900115</x:v>
      </x:c>
      <x:c r="E694" s="28" t="str">
        <x:v>原保险保费收入:健康险:累计同比</x:v>
      </x:c>
      <x:c r="F694" s="28" t="str">
        <x:v>Original Insurance Premium Income: Health Insurance: YoY</x:v>
      </x:c>
      <x:c r="G694" s="27" t="str">
        <x:v>月</x:v>
      </x:c>
      <x:c r="H694" s="27" t="str">
        <x:v>%</x:v>
      </x:c>
      <x:c r="I694" s="27" t="str">
        <x:v>累计同比</x:v>
      </x:c>
      <x:c r="J694" s="27" t="str">
        <x:v>全国</x:v>
      </x:c>
      <x:c r="K694" s="27" t="str">
        <x:v>中国</x:v>
      </x:c>
      <x:c r="L694" s="28" t="str">
        <x:v>中国保险业监督管理委员会</x:v>
      </x:c>
      <x:c r="M694" s="28" t="str">
        <x:v>getEcoDataIndFinancialservices</x:v>
      </x:c>
      <x:c r="N694" s="27" t="str">
        <x:v>2000-01-31</x:v>
      </x:c>
      <x:c r="O694" s="27" t="str">
        <x:v>2026-06-30</x:v>
      </x:c>
      <x:c r="P694" s="27" t="str">
        <x:v>持续更新</x:v>
      </x:c>
      <x:c r="Q694" s="27" t="str"/>
      <x:c r="R694" s="28" t="str"/>
    </x:row>
    <x:row r="695" ht="48" customHeight="1">
      <x:c r="A695" s="27" t="str">
        <x:v>801790</x:v>
      </x:c>
      <x:c r="B695" s="27" t="str">
        <x:v>非银金融</x:v>
      </x:c>
      <x:c r="C695" s="27" t="n">
        <x:v>4</x:v>
      </x:c>
      <x:c r="D695" s="27" t="str">
        <x:v>2210900129</x:v>
      </x:c>
      <x:c r="E695" s="28" t="str">
        <x:v>原保险保费收入:农业保险:累计同比</x:v>
      </x:c>
      <x:c r="F695" s="28" t="str">
        <x:v>Original Insurance Premium Income: Agriculture Insurance: YoY</x:v>
      </x:c>
      <x:c r="G695" s="27" t="str">
        <x:v>月</x:v>
      </x:c>
      <x:c r="H695" s="27" t="str">
        <x:v>%</x:v>
      </x:c>
      <x:c r="I695" s="27" t="str">
        <x:v>累计同比</x:v>
      </x:c>
      <x:c r="J695" s="27" t="str">
        <x:v>全国</x:v>
      </x:c>
      <x:c r="K695" s="27" t="str">
        <x:v>中国</x:v>
      </x:c>
      <x:c r="L695" s="28" t="str">
        <x:v>中国保险业监督管理委员会</x:v>
      </x:c>
      <x:c r="M695" s="28" t="str">
        <x:v>getEcoDataIndFinancialservices</x:v>
      </x:c>
      <x:c r="N695" s="27" t="str">
        <x:v>2013-04-30</x:v>
      </x:c>
      <x:c r="O695" s="27" t="str">
        <x:v>2026-06-30</x:v>
      </x:c>
      <x:c r="P695" s="27" t="str">
        <x:v>持续更新</x:v>
      </x:c>
      <x:c r="Q695" s="27" t="str"/>
      <x:c r="R695" s="28" t="str"/>
    </x:row>
    <x:row r="696" ht="48" customHeight="1">
      <x:c r="A696" s="27" t="str">
        <x:v>801790</x:v>
      </x:c>
      <x:c r="B696" s="27" t="str">
        <x:v>非银金融</x:v>
      </x:c>
      <x:c r="C696" s="27" t="n">
        <x:v>5</x:v>
      </x:c>
      <x:c r="D696" s="27" t="str">
        <x:v>2211002704</x:v>
      </x:c>
      <x:c r="E696" s="28" t="str">
        <x:v>原保险保费收入:原保险:当月同比</x:v>
      </x:c>
      <x:c r="F696" s="28" t="str">
        <x:v>Original Insurance Premium Income: Original Insurance: YoY</x:v>
      </x:c>
      <x:c r="G696" s="27" t="str">
        <x:v>月</x:v>
      </x:c>
      <x:c r="H696" s="27" t="str">
        <x:v>%</x:v>
      </x:c>
      <x:c r="I696" s="27" t="str">
        <x:v>当期同比</x:v>
      </x:c>
      <x:c r="J696" s="27" t="str">
        <x:v>全国</x:v>
      </x:c>
      <x:c r="K696" s="27" t="str">
        <x:v>中国</x:v>
      </x:c>
      <x:c r="L696" s="28" t="str">
        <x:v>中国保险业监督管理委员会</x:v>
      </x:c>
      <x:c r="M696" s="28" t="str">
        <x:v>getEcoDataIndFinancialservices</x:v>
      </x:c>
      <x:c r="N696" s="27" t="str">
        <x:v>2000-01-31</x:v>
      </x:c>
      <x:c r="O696" s="27" t="str">
        <x:v>2026-06-30</x:v>
      </x:c>
      <x:c r="P696" s="27" t="str">
        <x:v>持续更新</x:v>
      </x:c>
      <x:c r="Q696" s="27" t="str"/>
      <x:c r="R696" s="28" t="str"/>
    </x:row>
    <x:row r="697" ht="48" customHeight="1">
      <x:c r="A697" s="27" t="str">
        <x:v>801790</x:v>
      </x:c>
      <x:c r="B697" s="27" t="str">
        <x:v>非银金融</x:v>
      </x:c>
      <x:c r="C697" s="27" t="n">
        <x:v>6</x:v>
      </x:c>
      <x:c r="D697" s="27" t="str">
        <x:v>2210900114</x:v>
      </x:c>
      <x:c r="E697" s="28" t="str">
        <x:v>原保险保费收入:寿险:累计同比</x:v>
      </x:c>
      <x:c r="F697" s="28" t="str">
        <x:v>Original Insurance Premium Income: Life Insurance: YoY</x:v>
      </x:c>
      <x:c r="G697" s="27" t="str">
        <x:v>月</x:v>
      </x:c>
      <x:c r="H697" s="27" t="str">
        <x:v>%</x:v>
      </x:c>
      <x:c r="I697" s="27" t="str">
        <x:v>累计同比</x:v>
      </x:c>
      <x:c r="J697" s="27" t="str">
        <x:v>全国</x:v>
      </x:c>
      <x:c r="K697" s="27" t="str">
        <x:v>中国</x:v>
      </x:c>
      <x:c r="L697" s="28" t="str">
        <x:v>中国保险业监督管理委员会</x:v>
      </x:c>
      <x:c r="M697" s="28" t="str">
        <x:v>getEcoDataIndFinancialservices</x:v>
      </x:c>
      <x:c r="N697" s="27" t="str">
        <x:v>2000-01-31</x:v>
      </x:c>
      <x:c r="O697" s="27" t="str">
        <x:v>2026-06-30</x:v>
      </x:c>
      <x:c r="P697" s="27" t="str">
        <x:v>持续更新</x:v>
      </x:c>
      <x:c r="Q697" s="27" t="str"/>
      <x:c r="R697" s="28" t="str"/>
    </x:row>
    <x:row r="698" ht="48" customHeight="1">
      <x:c r="A698" s="27" t="str">
        <x:v>801790</x:v>
      </x:c>
      <x:c r="B698" s="27" t="str">
        <x:v>非银金融</x:v>
      </x:c>
      <x:c r="C698" s="27" t="n">
        <x:v>7</x:v>
      </x:c>
      <x:c r="D698" s="27" t="str">
        <x:v>2210900112</x:v>
      </x:c>
      <x:c r="E698" s="28" t="str">
        <x:v>原保险保费收入:财产险:累计同比</x:v>
      </x:c>
      <x:c r="F698" s="28" t="str">
        <x:v>Original Insurance Premium Income: Property Insurance: YoY</x:v>
      </x:c>
      <x:c r="G698" s="27" t="str">
        <x:v>月</x:v>
      </x:c>
      <x:c r="H698" s="27" t="str">
        <x:v>%</x:v>
      </x:c>
      <x:c r="I698" s="27" t="str">
        <x:v>累计同比</x:v>
      </x:c>
      <x:c r="J698" s="27" t="str">
        <x:v>全国</x:v>
      </x:c>
      <x:c r="K698" s="27" t="str">
        <x:v>中国</x:v>
      </x:c>
      <x:c r="L698" s="28" t="str">
        <x:v>中国保险业监督管理委员会</x:v>
      </x:c>
      <x:c r="M698" s="28" t="str">
        <x:v>getEcoDataIndFinancialservices</x:v>
      </x:c>
      <x:c r="N698" s="27" t="str">
        <x:v>2000-01-31</x:v>
      </x:c>
      <x:c r="O698" s="27" t="str">
        <x:v>2026-06-30</x:v>
      </x:c>
      <x:c r="P698" s="27" t="str">
        <x:v>持续更新</x:v>
      </x:c>
      <x:c r="Q698" s="27" t="str"/>
      <x:c r="R698" s="28" t="str"/>
    </x:row>
    <x:row r="699" ht="48" customHeight="1">
      <x:c r="A699" s="27" t="str">
        <x:v>801790</x:v>
      </x:c>
      <x:c r="B699" s="27" t="str">
        <x:v>非银金融</x:v>
      </x:c>
      <x:c r="C699" s="27" t="n">
        <x:v>8</x:v>
      </x:c>
      <x:c r="D699" s="27" t="str">
        <x:v>2210900119</x:v>
      </x:c>
      <x:c r="E699" s="28" t="str">
        <x:v>原保险赔付支出:人身险:累计同比</x:v>
      </x:c>
      <x:c r="F699" s="28" t="str">
        <x:v>Claims Paid: Personal Insurance: YoY</x:v>
      </x:c>
      <x:c r="G699" s="27" t="str">
        <x:v>月</x:v>
      </x:c>
      <x:c r="H699" s="27" t="str">
        <x:v>%</x:v>
      </x:c>
      <x:c r="I699" s="27" t="str">
        <x:v>累计同比</x:v>
      </x:c>
      <x:c r="J699" s="27" t="str">
        <x:v>全国</x:v>
      </x:c>
      <x:c r="K699" s="27" t="str">
        <x:v>中国</x:v>
      </x:c>
      <x:c r="L699" s="28" t="str">
        <x:v>中国保险业监督管理委员会</x:v>
      </x:c>
      <x:c r="M699" s="28" t="str">
        <x:v>getEcoDataIndFinancialservices</x:v>
      </x:c>
      <x:c r="N699" s="27" t="str">
        <x:v>2000-01-31</x:v>
      </x:c>
      <x:c r="O699" s="27" t="str">
        <x:v>2026-06-30</x:v>
      </x:c>
      <x:c r="P699" s="27" t="str">
        <x:v>持续更新</x:v>
      </x:c>
      <x:c r="Q699" s="27" t="str"/>
      <x:c r="R699" s="28" t="str"/>
    </x:row>
    <x:row r="700" ht="48" customHeight="1">
      <x:c r="A700" s="27" t="str">
        <x:v>801790</x:v>
      </x:c>
      <x:c r="B700" s="27" t="str">
        <x:v>非银金融</x:v>
      </x:c>
      <x:c r="C700" s="27" t="n">
        <x:v>9</x:v>
      </x:c>
      <x:c r="D700" s="27" t="str">
        <x:v>2210900117</x:v>
      </x:c>
      <x:c r="E700" s="28" t="str">
        <x:v>原保险赔付支出:原保险:累计同比</x:v>
      </x:c>
      <x:c r="F700" s="28" t="str">
        <x:v>Claims Paid: Original Insurance: YoY</x:v>
      </x:c>
      <x:c r="G700" s="27" t="str">
        <x:v>月</x:v>
      </x:c>
      <x:c r="H700" s="27" t="str">
        <x:v>%</x:v>
      </x:c>
      <x:c r="I700" s="27" t="str">
        <x:v>累计同比</x:v>
      </x:c>
      <x:c r="J700" s="27" t="str">
        <x:v>全国</x:v>
      </x:c>
      <x:c r="K700" s="27" t="str">
        <x:v>中国</x:v>
      </x:c>
      <x:c r="L700" s="28" t="str">
        <x:v>中国保险业监督管理委员会</x:v>
      </x:c>
      <x:c r="M700" s="28" t="str">
        <x:v>getEcoDataIndFinancialservices</x:v>
      </x:c>
      <x:c r="N700" s="27" t="str">
        <x:v>2000-01-31</x:v>
      </x:c>
      <x:c r="O700" s="27" t="str">
        <x:v>2026-06-30</x:v>
      </x:c>
      <x:c r="P700" s="27" t="str">
        <x:v>持续更新</x:v>
      </x:c>
      <x:c r="Q700" s="27" t="str"/>
      <x:c r="R700" s="28" t="str"/>
    </x:row>
    <x:row r="701" ht="48" customHeight="1">
      <x:c r="A701" s="27" t="str">
        <x:v>801790</x:v>
      </x:c>
      <x:c r="B701" s="27" t="str">
        <x:v>非银金融</x:v>
      </x:c>
      <x:c r="C701" s="27" t="n">
        <x:v>10</x:v>
      </x:c>
      <x:c r="D701" s="27" t="str">
        <x:v>2210900118</x:v>
      </x:c>
      <x:c r="E701" s="28" t="str">
        <x:v>原保险赔付支出:财产险:累计同比</x:v>
      </x:c>
      <x:c r="F701" s="28" t="str">
        <x:v>Claims Paid: Property Insurance: YoY</x:v>
      </x:c>
      <x:c r="G701" s="27" t="str">
        <x:v>月</x:v>
      </x:c>
      <x:c r="H701" s="27" t="str">
        <x:v>%</x:v>
      </x:c>
      <x:c r="I701" s="27" t="str">
        <x:v>累计同比</x:v>
      </x:c>
      <x:c r="J701" s="27" t="str">
        <x:v>全国</x:v>
      </x:c>
      <x:c r="K701" s="27" t="str">
        <x:v>中国</x:v>
      </x:c>
      <x:c r="L701" s="28" t="str">
        <x:v>中国保险业监督管理委员会</x:v>
      </x:c>
      <x:c r="M701" s="28" t="str">
        <x:v>getEcoDataIndFinancialservices</x:v>
      </x:c>
      <x:c r="N701" s="27" t="str">
        <x:v>2000-01-31</x:v>
      </x:c>
      <x:c r="O701" s="27" t="str">
        <x:v>2026-06-30</x:v>
      </x:c>
      <x:c r="P701" s="27" t="str">
        <x:v>持续更新</x:v>
      </x:c>
      <x:c r="Q701" s="27" t="str"/>
      <x:c r="R701" s="28" t="str"/>
    </x:row>
    <x:row r="702" ht="48" customHeight="1">
      <x:c r="A702" s="27" t="str">
        <x:v>801790</x:v>
      </x:c>
      <x:c r="B702" s="27" t="str">
        <x:v>非银金融</x:v>
      </x:c>
      <x:c r="C702" s="27" t="n">
        <x:v>11</x:v>
      </x:c>
      <x:c r="D702" s="27" t="str">
        <x:v>1070006934</x:v>
      </x:c>
      <x:c r="E702" s="28" t="str">
        <x:v>人身保险公司保户投资款新增交费:累计值</x:v>
      </x:c>
      <x:c r="F702" s="28" t="str">
        <x:v>Personal Insurance Company Investment Accounts New Payment: Cumulative Value</x:v>
      </x:c>
      <x:c r="G702" s="27" t="str">
        <x:v>月</x:v>
      </x:c>
      <x:c r="H702" s="27" t="str">
        <x:v>万元</x:v>
      </x:c>
      <x:c r="I702" s="27" t="str">
        <x:v>累计值</x:v>
      </x:c>
      <x:c r="J702" s="27" t="str">
        <x:v>全国</x:v>
      </x:c>
      <x:c r="K702" s="27" t="str">
        <x:v>中国</x:v>
      </x:c>
      <x:c r="L702" s="28" t="str">
        <x:v>中国保险业监督管理委员会</x:v>
      </x:c>
      <x:c r="M702" s="28" t="str">
        <x:v>getEcoDataIndFinancialservices</x:v>
      </x:c>
      <x:c r="N702" s="27" t="str">
        <x:v>2013-04-30</x:v>
      </x:c>
      <x:c r="O702" s="27" t="str">
        <x:v>2026-06-30</x:v>
      </x:c>
      <x:c r="P702" s="27" t="str">
        <x:v>持续更新</x:v>
      </x:c>
      <x:c r="Q702" s="27" t="str"/>
      <x:c r="R702" s="28" t="str"/>
    </x:row>
    <x:row r="703" ht="48" customHeight="1">
      <x:c r="A703" s="27" t="str">
        <x:v>801790</x:v>
      </x:c>
      <x:c r="B703" s="27" t="str">
        <x:v>非银金融</x:v>
      </x:c>
      <x:c r="C703" s="27" t="n">
        <x:v>12</x:v>
      </x:c>
      <x:c r="D703" s="27" t="str">
        <x:v>1070006935</x:v>
      </x:c>
      <x:c r="E703" s="28" t="str">
        <x:v>人身保险公司投连险独立账户新增交费:累计值</x:v>
      </x:c>
      <x:c r="F703" s="28" t="str">
        <x:v>Personal Insurance Companies Lianliankao Independent Account New Fee: Cumulative Value</x:v>
      </x:c>
      <x:c r="G703" s="27" t="str">
        <x:v>月</x:v>
      </x:c>
      <x:c r="H703" s="27" t="str">
        <x:v>万元</x:v>
      </x:c>
      <x:c r="I703" s="27" t="str">
        <x:v>累计值</x:v>
      </x:c>
      <x:c r="J703" s="27" t="str">
        <x:v>全国</x:v>
      </x:c>
      <x:c r="K703" s="27" t="str">
        <x:v>中国</x:v>
      </x:c>
      <x:c r="L703" s="28" t="str">
        <x:v>中国保险业监督管理委员会</x:v>
      </x:c>
      <x:c r="M703" s="28" t="str">
        <x:v>getEcoDataIndFinancialservices</x:v>
      </x:c>
      <x:c r="N703" s="27" t="str">
        <x:v>2013-04-30</x:v>
      </x:c>
      <x:c r="O703" s="27" t="str">
        <x:v>2026-06-30</x:v>
      </x:c>
      <x:c r="P703" s="27" t="str">
        <x:v>持续更新</x:v>
      </x:c>
      <x:c r="Q703" s="27" t="str"/>
      <x:c r="R703" s="28" t="str"/>
    </x:row>
    <x:row r="704" ht="48" customHeight="1">
      <x:c r="A704" s="27" t="str">
        <x:v>801790</x:v>
      </x:c>
      <x:c r="B704" s="27" t="str">
        <x:v>非银金融</x:v>
      </x:c>
      <x:c r="C704" s="27" t="n">
        <x:v>13</x:v>
      </x:c>
      <x:c r="D704" s="27" t="str">
        <x:v>1070005231</x:v>
      </x:c>
      <x:c r="E704" s="28" t="str">
        <x:v>保费收入:人身意外伤害险:累计值</x:v>
      </x:c>
      <x:c r="F704" s="28" t="str">
        <x:v>Original Insurance Premium Income: Life Accidental Injury Insurance: Cumulative Value</x:v>
      </x:c>
      <x:c r="G704" s="27" t="str">
        <x:v>月</x:v>
      </x:c>
      <x:c r="H704" s="27" t="str">
        <x:v>万元</x:v>
      </x:c>
      <x:c r="I704" s="27" t="str">
        <x:v>累计值</x:v>
      </x:c>
      <x:c r="J704" s="27" t="str">
        <x:v>全国</x:v>
      </x:c>
      <x:c r="K704" s="27" t="str">
        <x:v>中国</x:v>
      </x:c>
      <x:c r="L704" s="28" t="str">
        <x:v>中国保险业监督管理委员会</x:v>
      </x:c>
      <x:c r="M704" s="28" t="str">
        <x:v>getEcoDataIndFinancialservices</x:v>
      </x:c>
      <x:c r="N704" s="27" t="str">
        <x:v>1999-01-31</x:v>
      </x:c>
      <x:c r="O704" s="27" t="str">
        <x:v>2026-06-30</x:v>
      </x:c>
      <x:c r="P704" s="27" t="str">
        <x:v>持续更新</x:v>
      </x:c>
      <x:c r="Q704" s="27" t="str"/>
      <x:c r="R704" s="28" t="str"/>
    </x:row>
    <x:row r="705" ht="48" customHeight="1">
      <x:c r="A705" s="27" t="str">
        <x:v>801790</x:v>
      </x:c>
      <x:c r="B705" s="27" t="str">
        <x:v>非银金融</x:v>
      </x:c>
      <x:c r="C705" s="27" t="n">
        <x:v>14</x:v>
      </x:c>
      <x:c r="D705" s="27" t="str">
        <x:v>1070005228</x:v>
      </x:c>
      <x:c r="E705" s="28" t="str">
        <x:v>保费收入:人身险:累计值</x:v>
      </x:c>
      <x:c r="F705" s="28" t="str">
        <x:v>Original Insurance Premium Income: Life Insurance: Cumulative Value</x:v>
      </x:c>
      <x:c r="G705" s="27" t="str">
        <x:v>月</x:v>
      </x:c>
      <x:c r="H705" s="27" t="str">
        <x:v>万元</x:v>
      </x:c>
      <x:c r="I705" s="27" t="str">
        <x:v>累计值</x:v>
      </x:c>
      <x:c r="J705" s="27" t="str">
        <x:v>全国</x:v>
      </x:c>
      <x:c r="K705" s="27" t="str">
        <x:v>中国</x:v>
      </x:c>
      <x:c r="L705" s="28" t="str">
        <x:v>中国保险业监督管理委员会</x:v>
      </x:c>
      <x:c r="M705" s="28" t="str">
        <x:v>getEcoDataIndFinancialservices</x:v>
      </x:c>
      <x:c r="N705" s="27" t="str">
        <x:v>1999-01-31</x:v>
      </x:c>
      <x:c r="O705" s="27" t="str">
        <x:v>2026-06-30</x:v>
      </x:c>
      <x:c r="P705" s="27" t="str">
        <x:v>持续更新</x:v>
      </x:c>
      <x:c r="Q705" s="27" t="str"/>
      <x:c r="R705" s="28" t="str"/>
    </x:row>
    <x:row r="706" ht="48" customHeight="1">
      <x:c r="A706" s="27" t="str">
        <x:v>801790</x:v>
      </x:c>
      <x:c r="B706" s="27" t="str">
        <x:v>非银金融</x:v>
      </x:c>
      <x:c r="C706" s="27" t="n">
        <x:v>15</x:v>
      </x:c>
      <x:c r="D706" s="27" t="str">
        <x:v>1070005230</x:v>
      </x:c>
      <x:c r="E706" s="28" t="str">
        <x:v>保费收入:健康险:累计值</x:v>
      </x:c>
      <x:c r="F706" s="28" t="str">
        <x:v>Original Insurance Premium Income: Health Insurance: Cumulative Value</x:v>
      </x:c>
      <x:c r="G706" s="27" t="str">
        <x:v>月</x:v>
      </x:c>
      <x:c r="H706" s="27" t="str">
        <x:v>万元</x:v>
      </x:c>
      <x:c r="I706" s="27" t="str">
        <x:v>累计值</x:v>
      </x:c>
      <x:c r="J706" s="27" t="str">
        <x:v>全国</x:v>
      </x:c>
      <x:c r="K706" s="27" t="str">
        <x:v>中国</x:v>
      </x:c>
      <x:c r="L706" s="28" t="str">
        <x:v>中国保险业监督管理委员会</x:v>
      </x:c>
      <x:c r="M706" s="28" t="str">
        <x:v>getEcoDataIndFinancialservices</x:v>
      </x:c>
      <x:c r="N706" s="27" t="str">
        <x:v>1999-01-31</x:v>
      </x:c>
      <x:c r="O706" s="27" t="str">
        <x:v>2026-06-30</x:v>
      </x:c>
      <x:c r="P706" s="27" t="str">
        <x:v>持续更新</x:v>
      </x:c>
      <x:c r="Q706" s="27" t="str"/>
      <x:c r="R706" s="28" t="str"/>
    </x:row>
    <x:row r="707" ht="48" customHeight="1">
      <x:c r="A707" s="27" t="str">
        <x:v>801790</x:v>
      </x:c>
      <x:c r="B707" s="27" t="str">
        <x:v>非银金融</x:v>
      </x:c>
      <x:c r="C707" s="27" t="n">
        <x:v>16</x:v>
      </x:c>
      <x:c r="D707" s="27" t="str">
        <x:v>1070005229</x:v>
      </x:c>
      <x:c r="E707" s="28" t="str">
        <x:v>保费收入:寿险:累计值</x:v>
      </x:c>
      <x:c r="F707" s="28" t="str">
        <x:v>Original Insurance Premium Income: Life Insurance: Cumulative Value</x:v>
      </x:c>
      <x:c r="G707" s="27" t="str">
        <x:v>月</x:v>
      </x:c>
      <x:c r="H707" s="27" t="str">
        <x:v>万元</x:v>
      </x:c>
      <x:c r="I707" s="27" t="str">
        <x:v>累计值</x:v>
      </x:c>
      <x:c r="J707" s="27" t="str">
        <x:v>全国</x:v>
      </x:c>
      <x:c r="K707" s="27" t="str">
        <x:v>中国</x:v>
      </x:c>
      <x:c r="L707" s="28" t="str">
        <x:v>中国保险业监督管理委员会</x:v>
      </x:c>
      <x:c r="M707" s="28" t="str">
        <x:v>getEcoDataIndFinancialservices</x:v>
      </x:c>
      <x:c r="N707" s="27" t="str">
        <x:v>1999-01-31</x:v>
      </x:c>
      <x:c r="O707" s="27" t="str">
        <x:v>2026-06-30</x:v>
      </x:c>
      <x:c r="P707" s="27" t="str">
        <x:v>持续更新</x:v>
      </x:c>
      <x:c r="Q707" s="27" t="str"/>
      <x:c r="R707" s="28" t="str"/>
    </x:row>
    <x:row r="708" ht="48" customHeight="1">
      <x:c r="A708" s="27" t="str">
        <x:v>801790</x:v>
      </x:c>
      <x:c r="B708" s="27" t="str">
        <x:v>非银金融</x:v>
      </x:c>
      <x:c r="C708" s="27" t="n">
        <x:v>17</x:v>
      </x:c>
      <x:c r="D708" s="27" t="str">
        <x:v>1070005227</x:v>
      </x:c>
      <x:c r="E708" s="28" t="str">
        <x:v>保费收入:财产险:累计值</x:v>
      </x:c>
      <x:c r="F708" s="28" t="str">
        <x:v>Original Insurance Premium Income: Property: Cumulative Value</x:v>
      </x:c>
      <x:c r="G708" s="27" t="str">
        <x:v>月</x:v>
      </x:c>
      <x:c r="H708" s="27" t="str">
        <x:v>万元</x:v>
      </x:c>
      <x:c r="I708" s="27" t="str">
        <x:v>累计值</x:v>
      </x:c>
      <x:c r="J708" s="27" t="str">
        <x:v>全国</x:v>
      </x:c>
      <x:c r="K708" s="27" t="str">
        <x:v>中国</x:v>
      </x:c>
      <x:c r="L708" s="28" t="str">
        <x:v>中国保险业监督管理委员会</x:v>
      </x:c>
      <x:c r="M708" s="28" t="str">
        <x:v>getEcoDataIndFinancialservices</x:v>
      </x:c>
      <x:c r="N708" s="27" t="str">
        <x:v>1999-01-31</x:v>
      </x:c>
      <x:c r="O708" s="27" t="str">
        <x:v>2026-06-30</x:v>
      </x:c>
      <x:c r="P708" s="27" t="str">
        <x:v>持续更新</x:v>
      </x:c>
      <x:c r="Q708" s="27" t="str"/>
      <x:c r="R708" s="28" t="str"/>
    </x:row>
    <x:row r="709" ht="48" customHeight="1">
      <x:c r="A709" s="27" t="str">
        <x:v>801790</x:v>
      </x:c>
      <x:c r="B709" s="27" t="str">
        <x:v>非银金融</x:v>
      </x:c>
      <x:c r="C709" s="27" t="n">
        <x:v>18</x:v>
      </x:c>
      <x:c r="D709" s="27" t="str">
        <x:v>2210900132</x:v>
      </x:c>
      <x:c r="E709" s="28" t="str">
        <x:v>保险公司:风险保障金额(保额):人身险:累计同比</x:v>
      </x:c>
      <x:c r="F709" s="28" t="str">
        <x:v>Insurance Company: Risk Protection Amount (Insured): Personal Insurance: YoY</x:v>
      </x:c>
      <x:c r="G709" s="27" t="str">
        <x:v>月</x:v>
      </x:c>
      <x:c r="H709" s="27" t="str">
        <x:v>%</x:v>
      </x:c>
      <x:c r="I709" s="27" t="str">
        <x:v>累计同比</x:v>
      </x:c>
      <x:c r="J709" s="27" t="str">
        <x:v>全国</x:v>
      </x:c>
      <x:c r="K709" s="27" t="str">
        <x:v>中国</x:v>
      </x:c>
      <x:c r="L709" s="28" t="str">
        <x:v>中国保险业监督管理委员会</x:v>
      </x:c>
      <x:c r="M709" s="28" t="str">
        <x:v>getEcoDataIndFinancialservices</x:v>
      </x:c>
      <x:c r="N709" s="27" t="str">
        <x:v>2018-06-30</x:v>
      </x:c>
      <x:c r="O709" s="27" t="str">
        <x:v>2026-06-30</x:v>
      </x:c>
      <x:c r="P709" s="27" t="str">
        <x:v>持续更新</x:v>
      </x:c>
      <x:c r="Q709" s="27" t="str"/>
      <x:c r="R709" s="28" t="str"/>
    </x:row>
    <x:row r="710" ht="48" customHeight="1">
      <x:c r="A710" s="27" t="str">
        <x:v>801790</x:v>
      </x:c>
      <x:c r="B710" s="27" t="str">
        <x:v>非银金融</x:v>
      </x:c>
      <x:c r="C710" s="27" t="n">
        <x:v>19</x:v>
      </x:c>
      <x:c r="D710" s="27" t="str">
        <x:v>2210900135</x:v>
      </x:c>
      <x:c r="E710" s="28" t="str">
        <x:v>保险公司:风险保障金额(保额):农险:累计同比</x:v>
      </x:c>
      <x:c r="F710" s="28" t="str">
        <x:v>Insurance Company: Risk Protection Amount (Insured): Insured Amount of Agricultural Insurance: YoY</x:v>
      </x:c>
      <x:c r="G710" s="27" t="str">
        <x:v>月</x:v>
      </x:c>
      <x:c r="H710" s="27" t="str">
        <x:v>%</x:v>
      </x:c>
      <x:c r="I710" s="27" t="str">
        <x:v>累计同比</x:v>
      </x:c>
      <x:c r="J710" s="27" t="str">
        <x:v>全国</x:v>
      </x:c>
      <x:c r="K710" s="27" t="str">
        <x:v>中国</x:v>
      </x:c>
      <x:c r="L710" s="28" t="str">
        <x:v>中国保险业监督管理委员会</x:v>
      </x:c>
      <x:c r="M710" s="28" t="str">
        <x:v>getEcoDataIndFinancialservices</x:v>
      </x:c>
      <x:c r="N710" s="27" t="str">
        <x:v>2018-06-30</x:v>
      </x:c>
      <x:c r="O710" s="27" t="str">
        <x:v>2026-06-30</x:v>
      </x:c>
      <x:c r="P710" s="27" t="str">
        <x:v>持续更新</x:v>
      </x:c>
      <x:c r="Q710" s="27" t="str"/>
      <x:c r="R710" s="28" t="str"/>
    </x:row>
    <x:row r="711" ht="48" customHeight="1">
      <x:c r="A711" s="27" t="str">
        <x:v>801790</x:v>
      </x:c>
      <x:c r="B711" s="27" t="str">
        <x:v>非银金融</x:v>
      </x:c>
      <x:c r="C711" s="27" t="n">
        <x:v>20</x:v>
      </x:c>
      <x:c r="D711" s="27" t="str">
        <x:v>2210900130</x:v>
      </x:c>
      <x:c r="E711" s="28" t="str">
        <x:v>保险公司:风险保障金额(保额):累计同比</x:v>
      </x:c>
      <x:c r="F711" s="28" t="str">
        <x:v>Insurance Company: Risk Protection Amount (Insured): YoY</x:v>
      </x:c>
      <x:c r="G711" s="27" t="str">
        <x:v>月</x:v>
      </x:c>
      <x:c r="H711" s="27" t="str">
        <x:v>%</x:v>
      </x:c>
      <x:c r="I711" s="27" t="str">
        <x:v>累计同比</x:v>
      </x:c>
      <x:c r="J711" s="27" t="str">
        <x:v>全国</x:v>
      </x:c>
      <x:c r="K711" s="27" t="str">
        <x:v>中国</x:v>
      </x:c>
      <x:c r="L711" s="28" t="str">
        <x:v>中国保险业监督管理委员会</x:v>
      </x:c>
      <x:c r="M711" s="28" t="str">
        <x:v>getEcoDataIndFinancialservices</x:v>
      </x:c>
      <x:c r="N711" s="27" t="str">
        <x:v>2018-06-30</x:v>
      </x:c>
      <x:c r="O711" s="27" t="str">
        <x:v>2026-06-30</x:v>
      </x:c>
      <x:c r="P711" s="27" t="str">
        <x:v>持续更新</x:v>
      </x:c>
      <x:c r="Q711" s="27" t="str"/>
      <x:c r="R711" s="28" t="str"/>
    </x:row>
    <x:row r="712" ht="48" customHeight="1">
      <x:c r="A712" s="27" t="str">
        <x:v>801790</x:v>
      </x:c>
      <x:c r="B712" s="27" t="str">
        <x:v>非银金融</x:v>
      </x:c>
      <x:c r="C712" s="27" t="n">
        <x:v>21</x:v>
      </x:c>
      <x:c r="D712" s="27" t="str">
        <x:v>2210900131</x:v>
      </x:c>
      <x:c r="E712" s="28" t="str">
        <x:v>保险公司:风险保障金额(保额):财产险:累计同比</x:v>
      </x:c>
      <x:c r="F712" s="28" t="str">
        <x:v>Insurance Company: Risk Protection Amount (Insured): Property Insurance: YoY</x:v>
      </x:c>
      <x:c r="G712" s="27" t="str">
        <x:v>月</x:v>
      </x:c>
      <x:c r="H712" s="27" t="str">
        <x:v>%</x:v>
      </x:c>
      <x:c r="I712" s="27" t="str">
        <x:v>累计同比</x:v>
      </x:c>
      <x:c r="J712" s="27" t="str">
        <x:v>全国</x:v>
      </x:c>
      <x:c r="K712" s="27" t="str">
        <x:v>中国</x:v>
      </x:c>
      <x:c r="L712" s="28" t="str">
        <x:v>中国保险业监督管理委员会</x:v>
      </x:c>
      <x:c r="M712" s="28" t="str">
        <x:v>getEcoDataIndFinancialservices</x:v>
      </x:c>
      <x:c r="N712" s="27" t="str">
        <x:v>2018-06-30</x:v>
      </x:c>
      <x:c r="O712" s="27" t="str">
        <x:v>2026-06-30</x:v>
      </x:c>
      <x:c r="P712" s="27" t="str">
        <x:v>持续更新</x:v>
      </x:c>
      <x:c r="Q712" s="27" t="str"/>
      <x:c r="R712" s="28" t="str"/>
    </x:row>
    <x:row r="713" ht="48" customHeight="1">
      <x:c r="A713" s="27" t="str">
        <x:v>801790</x:v>
      </x:c>
      <x:c r="B713" s="27" t="str">
        <x:v>非银金融</x:v>
      </x:c>
      <x:c r="C713" s="27" t="n">
        <x:v>22</x:v>
      </x:c>
      <x:c r="D713" s="27" t="str">
        <x:v>2210900134</x:v>
      </x:c>
      <x:c r="E713" s="28" t="str">
        <x:v>保险公司:风险保障金额(保额):责任险:累计同比</x:v>
      </x:c>
      <x:c r="F713" s="28" t="str">
        <x:v>Insurance Company: Risk Protection Amount (Insured): Liability Insurance: YoY</x:v>
      </x:c>
      <x:c r="G713" s="27" t="str">
        <x:v>月</x:v>
      </x:c>
      <x:c r="H713" s="27" t="str">
        <x:v>%</x:v>
      </x:c>
      <x:c r="I713" s="27" t="str">
        <x:v>累计同比</x:v>
      </x:c>
      <x:c r="J713" s="27" t="str">
        <x:v>全国</x:v>
      </x:c>
      <x:c r="K713" s="27" t="str">
        <x:v>中国</x:v>
      </x:c>
      <x:c r="L713" s="28" t="str">
        <x:v>中国保险业监督管理委员会</x:v>
      </x:c>
      <x:c r="M713" s="28" t="str">
        <x:v>getEcoDataIndFinancialservices</x:v>
      </x:c>
      <x:c r="N713" s="27" t="str">
        <x:v>2018-06-30</x:v>
      </x:c>
      <x:c r="O713" s="27" t="str">
        <x:v>2026-06-30</x:v>
      </x:c>
      <x:c r="P713" s="27" t="str">
        <x:v>持续更新</x:v>
      </x:c>
      <x:c r="Q713" s="27" t="str"/>
      <x:c r="R713" s="28" t="str"/>
    </x:row>
    <x:row r="714" ht="48" customHeight="1">
      <x:c r="A714" s="27" t="str">
        <x:v>801790</x:v>
      </x:c>
      <x:c r="B714" s="27" t="str">
        <x:v>非银金融</x:v>
      </x:c>
      <x:c r="C714" s="27" t="n">
        <x:v>23</x:v>
      </x:c>
      <x:c r="D714" s="27" t="str">
        <x:v>2210900133</x:v>
      </x:c>
      <x:c r="E714" s="28" t="str">
        <x:v>保险公司:风险保障金额(保额):车险:累计同比</x:v>
      </x:c>
      <x:c r="F714" s="28" t="str">
        <x:v>Insurance Company: Risk Protection Amount (Insured): Motor Insurance: YoY</x:v>
      </x:c>
      <x:c r="G714" s="27" t="str">
        <x:v>月</x:v>
      </x:c>
      <x:c r="H714" s="27" t="str">
        <x:v>%</x:v>
      </x:c>
      <x:c r="I714" s="27" t="str">
        <x:v>累计同比</x:v>
      </x:c>
      <x:c r="J714" s="27" t="str">
        <x:v>全国</x:v>
      </x:c>
      <x:c r="K714" s="27" t="str">
        <x:v>中国</x:v>
      </x:c>
      <x:c r="L714" s="28" t="str">
        <x:v>中国保险业监督管理委员会</x:v>
      </x:c>
      <x:c r="M714" s="28" t="str">
        <x:v>getEcoDataIndFinancialservices</x:v>
      </x:c>
      <x:c r="N714" s="27" t="str">
        <x:v>2018-06-30</x:v>
      </x:c>
      <x:c r="O714" s="27" t="str">
        <x:v>2026-06-30</x:v>
      </x:c>
      <x:c r="P714" s="27" t="str">
        <x:v>持续更新</x:v>
      </x:c>
      <x:c r="Q714" s="27" t="str"/>
      <x:c r="R714" s="28" t="str"/>
    </x:row>
    <x:row r="715" ht="48" customHeight="1">
      <x:c r="A715" s="27" t="str">
        <x:v>801790</x:v>
      </x:c>
      <x:c r="B715" s="27" t="str">
        <x:v>非银金融</x:v>
      </x:c>
      <x:c r="C715" s="27" t="n">
        <x:v>24</x:v>
      </x:c>
      <x:c r="D715" s="27" t="str">
        <x:v>2210500105</x:v>
      </x:c>
      <x:c r="E715" s="28" t="str">
        <x:v>银行理财产品发行数量:当月值</x:v>
      </x:c>
      <x:c r="F715" s="28" t="str">
        <x:v>Number of Bank Financial Products Issued: Current Value (Month)</x:v>
      </x:c>
      <x:c r="G715" s="27" t="str">
        <x:v>月</x:v>
      </x:c>
      <x:c r="H715" s="27" t="str">
        <x:v>款</x:v>
      </x:c>
      <x:c r="I715" s="27" t="str">
        <x:v>当期值</x:v>
      </x:c>
      <x:c r="J715" s="27" t="str">
        <x:v>全国</x:v>
      </x:c>
      <x:c r="K715" s="27" t="str">
        <x:v>中国</x:v>
      </x:c>
      <x:c r="L715" s="28" t="str">
        <x:v>Datayes!</x:v>
      </x:c>
      <x:c r="M715" s="28" t="str">
        <x:v>getEcoDataIndFinancialservices</x:v>
      </x:c>
      <x:c r="N715" s="27" t="str">
        <x:v>2000-03-31</x:v>
      </x:c>
      <x:c r="O715" s="27" t="str">
        <x:v>2026-07-31</x:v>
      </x:c>
      <x:c r="P715" s="27" t="str">
        <x:v>持续更新</x:v>
      </x:c>
      <x:c r="Q715" s="27" t="str"/>
      <x:c r="R715" s="28" t="str"/>
    </x:row>
    <x:row r="716" ht="48" customHeight="1">
      <x:c r="A716" s="27" t="str">
        <x:v>801790</x:v>
      </x:c>
      <x:c r="B716" s="27" t="str">
        <x:v>非银金融</x:v>
      </x:c>
      <x:c r="C716" s="27" t="n">
        <x:v>25</x:v>
      </x:c>
      <x:c r="D716" s="27" t="str">
        <x:v>2210100846</x:v>
      </x:c>
      <x:c r="E716" s="28" t="str">
        <x:v>中国人寿:国寿个人税收优惠型健康保险A款(2016版)年化收益</x:v>
      </x:c>
      <x:c r="F716" s="28" t="str">
        <x:v>China Life Insurance: China Life Individual Tax-Type Health Insurance A Paragraph (2016 Version) Annualized Earnings</x:v>
      </x:c>
      <x:c r="G716" s="27" t="str">
        <x:v>月</x:v>
      </x:c>
      <x:c r="H716" s="27" t="str">
        <x:v>%</x:v>
      </x:c>
      <x:c r="I716" s="27" t="str">
        <x:v>当期值</x:v>
      </x:c>
      <x:c r="J716" s="27" t="str">
        <x:v>全国</x:v>
      </x:c>
      <x:c r="K716" s="27" t="str">
        <x:v>中国</x:v>
      </x:c>
      <x:c r="L716" s="28" t="str">
        <x:v>中国人寿</x:v>
      </x:c>
      <x:c r="M716" s="28" t="str">
        <x:v>getEcoDataIndFinancialservices</x:v>
      </x:c>
      <x:c r="N716" s="27" t="str">
        <x:v>2016-05-31</x:v>
      </x:c>
      <x:c r="O716" s="27" t="str">
        <x:v>2026-07-31</x:v>
      </x:c>
      <x:c r="P716" s="27" t="str">
        <x:v>持续更新</x:v>
      </x:c>
      <x:c r="Q716" s="27" t="str"/>
      <x:c r="R716" s="28" t="str"/>
    </x:row>
    <x:row r="717" ht="48" customHeight="1">
      <x:c r="A717" s="27" t="str">
        <x:v>801790</x:v>
      </x:c>
      <x:c r="B717" s="27" t="str">
        <x:v>非银金融</x:v>
      </x:c>
      <x:c r="C717" s="27" t="n">
        <x:v>26</x:v>
      </x:c>
      <x:c r="D717" s="27" t="str">
        <x:v>2210500106</x:v>
      </x:c>
      <x:c r="E717" s="28" t="str">
        <x:v>银行理财产品平均预期年化收益率:当月值</x:v>
      </x:c>
      <x:c r="F717" s="28" t="str">
        <x:v>The Average Annualized Expected Rate of Return of Bank Financial Product: Current Value (Month)</x:v>
      </x:c>
      <x:c r="G717" s="27" t="str">
        <x:v>月</x:v>
      </x:c>
      <x:c r="H717" s="27" t="str">
        <x:v>%</x:v>
      </x:c>
      <x:c r="I717" s="27" t="str">
        <x:v>当期值</x:v>
      </x:c>
      <x:c r="J717" s="27" t="str">
        <x:v>全国</x:v>
      </x:c>
      <x:c r="K717" s="27" t="str">
        <x:v>中国</x:v>
      </x:c>
      <x:c r="L717" s="28" t="str">
        <x:v>Datayes!</x:v>
      </x:c>
      <x:c r="M717" s="28" t="str">
        <x:v>getEcoDataIndFinancialservices</x:v>
      </x:c>
      <x:c r="N717" s="27" t="str">
        <x:v>2000-03-31</x:v>
      </x:c>
      <x:c r="O717" s="27" t="str">
        <x:v>2026-06-30</x:v>
      </x:c>
      <x:c r="P717" s="27" t="str">
        <x:v>持续更新</x:v>
      </x:c>
      <x:c r="Q717" s="27" t="str"/>
      <x:c r="R717" s="28" t="str"/>
    </x:row>
    <x:row r="718" ht="48" customHeight="1">
      <x:c r="A718" s="27" t="str">
        <x:v>801790</x:v>
      </x:c>
      <x:c r="B718" s="27" t="str">
        <x:v>非银金融</x:v>
      </x:c>
      <x:c r="C718" s="27" t="n">
        <x:v>27</x:v>
      </x:c>
      <x:c r="D718" s="27" t="str">
        <x:v>2060709413</x:v>
      </x:c>
      <x:c r="E718" s="28" t="str">
        <x:v>期货成交额(活跃):玻璃</x:v>
      </x:c>
      <x:c r="F718" s="28" t="str">
        <x:v>Futures Turnover (Active): Glass</x:v>
      </x:c>
      <x:c r="G718" s="27" t="str">
        <x:v>日</x:v>
      </x:c>
      <x:c r="H718" s="27" t="str">
        <x:v>元</x:v>
      </x:c>
      <x:c r="I718" s="27" t="str">
        <x:v>当期值</x:v>
      </x:c>
      <x:c r="J718" s="27" t="str">
        <x:v>全国</x:v>
      </x:c>
      <x:c r="K718" s="27" t="str">
        <x:v>中国</x:v>
      </x:c>
      <x:c r="L718" s="28" t="str">
        <x:v>郑州商品交易所</x:v>
      </x:c>
      <x:c r="M718" s="28" t="str">
        <x:v>getEcoDataIndBuildingmaterials</x:v>
      </x:c>
      <x:c r="N718" s="27" t="str">
        <x:v>2012-12-03</x:v>
      </x:c>
      <x:c r="O718" s="27" t="str">
        <x:v>2026-08-07</x:v>
      </x:c>
      <x:c r="P718" s="27" t="str">
        <x:v>持续更新</x:v>
      </x:c>
      <x:c r="Q718" s="27" t="str"/>
      <x:c r="R718" s="28" t="str"/>
    </x:row>
    <x:row r="719" ht="48" customHeight="1">
      <x:c r="A719" s="27" t="str">
        <x:v>801790</x:v>
      </x:c>
      <x:c r="B719" s="27" t="str">
        <x:v>非银金融</x:v>
      </x:c>
      <x:c r="C719" s="27" t="n">
        <x:v>28</x:v>
      </x:c>
      <x:c r="D719" s="27" t="str">
        <x:v>2060709421</x:v>
      </x:c>
      <x:c r="E719" s="28" t="str">
        <x:v>期货成交额(连三):玻璃</x:v>
      </x:c>
      <x:c r="F719" s="28" t="str">
        <x:v>Futures Turnover (Continuous Three): Glass</x:v>
      </x:c>
      <x:c r="G719" s="27" t="str">
        <x:v>日</x:v>
      </x:c>
      <x:c r="H719" s="27" t="str">
        <x:v>元</x:v>
      </x:c>
      <x:c r="I719" s="27" t="str">
        <x:v>当期值</x:v>
      </x:c>
      <x:c r="J719" s="27" t="str">
        <x:v>全国</x:v>
      </x:c>
      <x:c r="K719" s="27" t="str">
        <x:v>中国</x:v>
      </x:c>
      <x:c r="L719" s="28" t="str">
        <x:v>郑州商品交易所</x:v>
      </x:c>
      <x:c r="M719" s="28" t="str">
        <x:v>getEcoDataIndBuildingmaterials</x:v>
      </x:c>
      <x:c r="N719" s="27" t="str">
        <x:v>2012-12-03</x:v>
      </x:c>
      <x:c r="O719" s="27" t="str">
        <x:v>2026-08-07</x:v>
      </x:c>
      <x:c r="P719" s="27" t="str">
        <x:v>持续更新</x:v>
      </x:c>
      <x:c r="Q719" s="27" t="str"/>
      <x:c r="R719" s="28" t="str"/>
    </x:row>
    <x:row r="720" ht="48" customHeight="1">
      <x:c r="A720" s="27" t="str">
        <x:v>801790</x:v>
      </x:c>
      <x:c r="B720" s="27" t="str">
        <x:v>非银金融</x:v>
      </x:c>
      <x:c r="C720" s="27" t="n">
        <x:v>29</x:v>
      </x:c>
      <x:c r="D720" s="27" t="str">
        <x:v>2060709416</x:v>
      </x:c>
      <x:c r="E720" s="28" t="str">
        <x:v>期货成交额(连续):玻璃</x:v>
      </x:c>
      <x:c r="F720" s="28" t="str">
        <x:v>Futures Turnover (Continuous): Glass</x:v>
      </x:c>
      <x:c r="G720" s="27" t="str">
        <x:v>日</x:v>
      </x:c>
      <x:c r="H720" s="27" t="str">
        <x:v>元</x:v>
      </x:c>
      <x:c r="I720" s="27" t="str">
        <x:v>当期值</x:v>
      </x:c>
      <x:c r="J720" s="27" t="str">
        <x:v>全国</x:v>
      </x:c>
      <x:c r="K720" s="27" t="str">
        <x:v>中国</x:v>
      </x:c>
      <x:c r="L720" s="28" t="str">
        <x:v>郑州商品交易所</x:v>
      </x:c>
      <x:c r="M720" s="28" t="str">
        <x:v>getEcoDataIndBuildingmaterials</x:v>
      </x:c>
      <x:c r="N720" s="27" t="str">
        <x:v>2012-12-03</x:v>
      </x:c>
      <x:c r="O720" s="27" t="str">
        <x:v>2026-08-06</x:v>
      </x:c>
      <x:c r="P720" s="27" t="str">
        <x:v>持续更新</x:v>
      </x:c>
      <x:c r="Q720" s="27" t="str"/>
      <x:c r="R720" s="28" t="str"/>
    </x:row>
    <x:row r="721" ht="48" customHeight="1">
      <x:c r="A721" s="27" t="str">
        <x:v>801790</x:v>
      </x:c>
      <x:c r="B721" s="27" t="str">
        <x:v>非银金融</x:v>
      </x:c>
      <x:c r="C721" s="27" t="n">
        <x:v>30</x:v>
      </x:c>
      <x:c r="D721" s="27" t="str">
        <x:v>2060709411</x:v>
      </x:c>
      <x:c r="E721" s="28" t="str">
        <x:v>期货成交量(活跃):玻璃</x:v>
      </x:c>
      <x:c r="F721" s="28" t="str">
        <x:v>Futures Trading Volume (Active): Glass</x:v>
      </x:c>
      <x:c r="G721" s="27" t="str">
        <x:v>日</x:v>
      </x:c>
      <x:c r="H721" s="27" t="str">
        <x:v>手</x:v>
      </x:c>
      <x:c r="I721" s="27" t="str">
        <x:v>当期值</x:v>
      </x:c>
      <x:c r="J721" s="27" t="str">
        <x:v>全国</x:v>
      </x:c>
      <x:c r="K721" s="27" t="str">
        <x:v>中国</x:v>
      </x:c>
      <x:c r="L721" s="28" t="str">
        <x:v>郑州商品交易所</x:v>
      </x:c>
      <x:c r="M721" s="28" t="str">
        <x:v>getEcoDataIndBuildingmaterials</x:v>
      </x:c>
      <x:c r="N721" s="27" t="str">
        <x:v>2012-12-03</x:v>
      </x:c>
      <x:c r="O721" s="27" t="str">
        <x:v>2026-08-07</x:v>
      </x:c>
      <x:c r="P721" s="27" t="str">
        <x:v>持续更新</x:v>
      </x:c>
      <x:c r="Q721" s="27" t="str"/>
      <x:c r="R721" s="28" t="str"/>
    </x:row>
    <x:row r="722" ht="48" customHeight="1">
      <x:c r="A722" s="27" t="str">
        <x:v>801880</x:v>
      </x:c>
      <x:c r="B722" s="27" t="str">
        <x:v>汽车</x:v>
      </x:c>
      <x:c r="C722" s="27" t="n">
        <x:v>1</x:v>
      </x:c>
      <x:c r="D722" s="27" t="str">
        <x:v>2070928295</x:v>
      </x:c>
      <x:c r="E722" s="28" t="str">
        <x:v>当周日均销量:乘用车:厂家零售</x:v>
      </x:c>
      <x:c r="F722" s="28" t="str"/>
      <x:c r="G722" s="27" t="str">
        <x:v>周</x:v>
      </x:c>
      <x:c r="H722" s="27" t="str">
        <x:v>辆</x:v>
      </x:c>
      <x:c r="I722" s="27" t="str">
        <x:v>当期值</x:v>
      </x:c>
      <x:c r="J722" s="27" t="str">
        <x:v>全国</x:v>
      </x:c>
      <x:c r="K722" s="27" t="str">
        <x:v>中国</x:v>
      </x:c>
      <x:c r="L722" s="28" t="str">
        <x:v>全国乘用车市场信息联席会</x:v>
      </x:c>
      <x:c r="M722" s="28" t="str">
        <x:v>getEcoDataIndAutomobile</x:v>
      </x:c>
      <x:c r="N722" s="27" t="str">
        <x:v>2015-03-06</x:v>
      </x:c>
      <x:c r="O722" s="27" t="str">
        <x:v>2026-07-31</x:v>
      </x:c>
      <x:c r="P722" s="27" t="str">
        <x:v>持续更新</x:v>
      </x:c>
      <x:c r="Q722" s="27" t="str"/>
      <x:c r="R722" s="28" t="str"/>
    </x:row>
    <x:row r="723" ht="48" customHeight="1">
      <x:c r="A723" s="27" t="str">
        <x:v>801880</x:v>
      </x:c>
      <x:c r="B723" s="27" t="str">
        <x:v>汽车</x:v>
      </x:c>
      <x:c r="C723" s="27" t="n">
        <x:v>2</x:v>
      </x:c>
      <x:c r="D723" s="27" t="str">
        <x:v>2070133158</x:v>
      </x:c>
      <x:c r="E723" s="28" t="str">
        <x:v>汽车经销商库存预警指数:销量指数</x:v>
      </x:c>
      <x:c r="F723" s="28" t="str">
        <x:v>Automobile Inventory Warning Index: Sales Volume Index</x:v>
      </x:c>
      <x:c r="G723" s="27" t="str">
        <x:v>月</x:v>
      </x:c>
      <x:c r="H723" s="27" t="str">
        <x:v>%</x:v>
      </x:c>
      <x:c r="I723" s="27" t="str">
        <x:v>当期值</x:v>
      </x:c>
      <x:c r="J723" s="27" t="str">
        <x:v>全国</x:v>
      </x:c>
      <x:c r="K723" s="27" t="str">
        <x:v>中国</x:v>
      </x:c>
      <x:c r="L723" s="28" t="str">
        <x:v>中国汽车流通协会</x:v>
      </x:c>
      <x:c r="M723" s="28" t="str">
        <x:v>getEcoDataIndAutomobile</x:v>
      </x:c>
      <x:c r="N723" s="27" t="str">
        <x:v>2014-01-31</x:v>
      </x:c>
      <x:c r="O723" s="27" t="str">
        <x:v>2026-07-31</x:v>
      </x:c>
      <x:c r="P723" s="27" t="str">
        <x:v>持续更新</x:v>
      </x:c>
      <x:c r="Q723" s="27" t="str"/>
      <x:c r="R723" s="28" t="str"/>
    </x:row>
    <x:row r="724" ht="48" customHeight="1">
      <x:c r="A724" s="27" t="str">
        <x:v>801880</x:v>
      </x:c>
      <x:c r="B724" s="27" t="str">
        <x:v>汽车</x:v>
      </x:c>
      <x:c r="C724" s="27" t="n">
        <x:v>3</x:v>
      </x:c>
      <x:c r="D724" s="27" t="str">
        <x:v>2070133164</x:v>
      </x:c>
      <x:c r="E724" s="28" t="str">
        <x:v>汽车经销商库存预警指数:销量指数:环比增减</x:v>
      </x:c>
      <x:c r="F724" s="28" t="str">
        <x:v>Automobile Inventory Warning Index: Sales Volume Index: Net Change from Preceding Period</x:v>
      </x:c>
      <x:c r="G724" s="27" t="str">
        <x:v>月</x:v>
      </x:c>
      <x:c r="H724" s="27" t="str">
        <x:v>%</x:v>
      </x:c>
      <x:c r="I724" s="27" t="str">
        <x:v>环比增减</x:v>
      </x:c>
      <x:c r="J724" s="27" t="str">
        <x:v>全国</x:v>
      </x:c>
      <x:c r="K724" s="27" t="str">
        <x:v>中国</x:v>
      </x:c>
      <x:c r="L724" s="28" t="str">
        <x:v>中国汽车流通协会</x:v>
      </x:c>
      <x:c r="M724" s="28" t="str">
        <x:v>getEcoDataIndAutomobile</x:v>
      </x:c>
      <x:c r="N724" s="27" t="str">
        <x:v>2014-01-31</x:v>
      </x:c>
      <x:c r="O724" s="27" t="str">
        <x:v>2026-07-31</x:v>
      </x:c>
      <x:c r="P724" s="27" t="str">
        <x:v>持续更新</x:v>
      </x:c>
      <x:c r="Q724" s="27" t="str"/>
      <x:c r="R724" s="28" t="str"/>
    </x:row>
    <x:row r="725" ht="48" customHeight="1">
      <x:c r="A725" s="27" t="str">
        <x:v>801880</x:v>
      </x:c>
      <x:c r="B725" s="27" t="str">
        <x:v>汽车</x:v>
      </x:c>
      <x:c r="C725" s="27" t="n">
        <x:v>4</x:v>
      </x:c>
      <x:c r="D725" s="27" t="str">
        <x:v>2070936194</x:v>
      </x:c>
      <x:c r="E725" s="28" t="str">
        <x:v>销量:新能源乘用车:零售:累计同比</x:v>
      </x:c>
      <x:c r="F725" s="28" t="str">
        <x:v>Sales: New Energy Passenger Vehicles: Retail: Cumulative YoY</x:v>
      </x:c>
      <x:c r="G725" s="27" t="str">
        <x:v>月</x:v>
      </x:c>
      <x:c r="H725" s="27" t="str">
        <x:v>%</x:v>
      </x:c>
      <x:c r="I725" s="27" t="str">
        <x:v>累计同比</x:v>
      </x:c>
      <x:c r="J725" s="27" t="str">
        <x:v>全国</x:v>
      </x:c>
      <x:c r="K725" s="27" t="str">
        <x:v>中国</x:v>
      </x:c>
      <x:c r="L725" s="28" t="str">
        <x:v>全国乘用车市场信息联席会</x:v>
      </x:c>
      <x:c r="M725" s="28" t="str">
        <x:v>getEcoDataIndAutomobile</x:v>
      </x:c>
      <x:c r="N725" s="27" t="str">
        <x:v>2018-05-31</x:v>
      </x:c>
      <x:c r="O725" s="27" t="str">
        <x:v>2026-06-30</x:v>
      </x:c>
      <x:c r="P725" s="27" t="str">
        <x:v>持续更新</x:v>
      </x:c>
      <x:c r="Q725" s="27" t="str"/>
      <x:c r="R725" s="28" t="str"/>
    </x:row>
    <x:row r="726" ht="48" customHeight="1">
      <x:c r="A726" s="27" t="str">
        <x:v>801880</x:v>
      </x:c>
      <x:c r="B726" s="27" t="str">
        <x:v>汽车</x:v>
      </x:c>
      <x:c r="C726" s="27" t="n">
        <x:v>5</x:v>
      </x:c>
      <x:c r="D726" s="27" t="str">
        <x:v>1020008694</x:v>
      </x:c>
      <x:c r="E726" s="28" t="str">
        <x:v>产量:汽车:运动型多用途乘用车(SUV):当月值</x:v>
      </x:c>
      <x:c r="F726" s="28" t="str">
        <x:v>Output: Automobile: Sports Utility Automobile s (SUV): Current Value (Month)</x:v>
      </x:c>
      <x:c r="G726" s="27" t="str">
        <x:v>月</x:v>
      </x:c>
      <x:c r="H726" s="27" t="str">
        <x:v>万辆</x:v>
      </x:c>
      <x:c r="I726" s="27" t="str">
        <x:v>当期值</x:v>
      </x:c>
      <x:c r="J726" s="27" t="str">
        <x:v>全国</x:v>
      </x:c>
      <x:c r="K726" s="27" t="str">
        <x:v>中国</x:v>
      </x:c>
      <x:c r="L726" s="28" t="str">
        <x:v>国家统计局</x:v>
      </x:c>
      <x:c r="M726" s="28" t="str">
        <x:v>getEcoDataChina</x:v>
      </x:c>
      <x:c r="N726" s="27" t="str">
        <x:v>2009-01-31</x:v>
      </x:c>
      <x:c r="O726" s="27" t="str">
        <x:v>2026-06-30</x:v>
      </x:c>
      <x:c r="P726" s="27" t="str">
        <x:v>持续更新</x:v>
      </x:c>
      <x:c r="Q726" s="27" t="str"/>
      <x:c r="R726" s="28" t="str"/>
    </x:row>
    <x:row r="727" ht="48" customHeight="1">
      <x:c r="A727" s="27" t="str">
        <x:v>801880</x:v>
      </x:c>
      <x:c r="B727" s="27" t="str">
        <x:v>汽车</x:v>
      </x:c>
      <x:c r="C727" s="27" t="n">
        <x:v>6</x:v>
      </x:c>
      <x:c r="D727" s="27" t="str">
        <x:v>2070928296</x:v>
      </x:c>
      <x:c r="E727" s="28" t="str">
        <x:v>当周日均销量:乘用车:厂家批发</x:v>
      </x:c>
      <x:c r="F727" s="28" t="str"/>
      <x:c r="G727" s="27" t="str">
        <x:v>周</x:v>
      </x:c>
      <x:c r="H727" s="27" t="str">
        <x:v>辆</x:v>
      </x:c>
      <x:c r="I727" s="27" t="str">
        <x:v>当期值</x:v>
      </x:c>
      <x:c r="J727" s="27" t="str">
        <x:v>全国</x:v>
      </x:c>
      <x:c r="K727" s="27" t="str">
        <x:v>中国</x:v>
      </x:c>
      <x:c r="L727" s="28" t="str">
        <x:v>全国乘用车市场信息联席会</x:v>
      </x:c>
      <x:c r="M727" s="28" t="str">
        <x:v>getEcoDataIndAutomobile</x:v>
      </x:c>
      <x:c r="N727" s="27" t="str">
        <x:v>2015-03-06</x:v>
      </x:c>
      <x:c r="O727" s="27" t="str">
        <x:v>2026-07-31</x:v>
      </x:c>
      <x:c r="P727" s="27" t="str">
        <x:v>持续更新</x:v>
      </x:c>
      <x:c r="Q727" s="27" t="str"/>
      <x:c r="R727" s="28" t="str"/>
    </x:row>
    <x:row r="728" ht="48" customHeight="1">
      <x:c r="A728" s="27" t="str">
        <x:v>801880</x:v>
      </x:c>
      <x:c r="B728" s="27" t="str">
        <x:v>汽车</x:v>
      </x:c>
      <x:c r="C728" s="27" t="n">
        <x:v>7</x:v>
      </x:c>
      <x:c r="D728" s="27" t="str">
        <x:v>1020021235</x:v>
      </x:c>
      <x:c r="E728" s="28" t="str">
        <x:v>产量:新能源汽车:当月值</x:v>
      </x:c>
      <x:c r="F728" s="28" t="str">
        <x:v>Output: New Energy Vehicles: Current Value</x:v>
      </x:c>
      <x:c r="G728" s="27" t="str">
        <x:v>月</x:v>
      </x:c>
      <x:c r="H728" s="27" t="str">
        <x:v>万辆</x:v>
      </x:c>
      <x:c r="I728" s="27" t="str">
        <x:v>当期值</x:v>
      </x:c>
      <x:c r="J728" s="27" t="str">
        <x:v>全国</x:v>
      </x:c>
      <x:c r="K728" s="27" t="str">
        <x:v>中国</x:v>
      </x:c>
      <x:c r="L728" s="28" t="str">
        <x:v>国家统计局</x:v>
      </x:c>
      <x:c r="M728" s="28" t="str">
        <x:v>getEcoDataChina</x:v>
      </x:c>
      <x:c r="N728" s="27" t="str">
        <x:v>2016-03-31</x:v>
      </x:c>
      <x:c r="O728" s="27" t="str">
        <x:v>2026-06-30</x:v>
      </x:c>
      <x:c r="P728" s="27" t="str">
        <x:v>持续更新</x:v>
      </x:c>
      <x:c r="Q728" s="27" t="str"/>
      <x:c r="R728" s="28" t="str"/>
    </x:row>
    <x:row r="729" ht="48" customHeight="1">
      <x:c r="A729" s="27" t="str">
        <x:v>801880</x:v>
      </x:c>
      <x:c r="B729" s="27" t="str">
        <x:v>汽车</x:v>
      </x:c>
      <x:c r="C729" s="27" t="n">
        <x:v>8</x:v>
      </x:c>
      <x:c r="D729" s="27" t="str">
        <x:v>2070200023</x:v>
      </x:c>
      <x:c r="E729" s="28" t="str">
        <x:v>专用汽车:进口数量:当月值</x:v>
      </x:c>
      <x:c r="F729" s="28" t="str">
        <x:v>Special purpose Automobile: Imports Quantity</x:v>
      </x:c>
      <x:c r="G729" s="27" t="str">
        <x:v>月</x:v>
      </x:c>
      <x:c r="H729" s="27" t="str">
        <x:v>辆</x:v>
      </x:c>
      <x:c r="I729" s="27" t="str">
        <x:v>当期值</x:v>
      </x:c>
      <x:c r="J729" s="27" t="str">
        <x:v>全国</x:v>
      </x:c>
      <x:c r="K729" s="27" t="str">
        <x:v>中国</x:v>
      </x:c>
      <x:c r="L729" s="28" t="str">
        <x:v>海关总署</x:v>
      </x:c>
      <x:c r="M729" s="28" t="str">
        <x:v>getEcoDataIndAutomobile</x:v>
      </x:c>
      <x:c r="N729" s="27" t="str">
        <x:v>1998-01-31</x:v>
      </x:c>
      <x:c r="O729" s="27" t="str">
        <x:v>2026-05-31</x:v>
      </x:c>
      <x:c r="P729" s="27" t="str">
        <x:v>持续更新</x:v>
      </x:c>
      <x:c r="Q729" s="27" t="str"/>
      <x:c r="R729" s="28" t="str"/>
    </x:row>
    <x:row r="730" ht="48" customHeight="1">
      <x:c r="A730" s="27" t="str">
        <x:v>801880</x:v>
      </x:c>
      <x:c r="B730" s="27" t="str">
        <x:v>汽车</x:v>
      </x:c>
      <x:c r="C730" s="27" t="n">
        <x:v>9</x:v>
      </x:c>
      <x:c r="D730" s="27" t="str">
        <x:v>2070200096</x:v>
      </x:c>
      <x:c r="E730" s="28" t="str">
        <x:v>专用汽车:进口金额:累计同比</x:v>
      </x:c>
      <x:c r="F730" s="28" t="str">
        <x:v>Special purpose Automobile: Imports Value: YTD: YoY</x:v>
      </x:c>
      <x:c r="G730" s="27" t="str">
        <x:v>月</x:v>
      </x:c>
      <x:c r="H730" s="27" t="str">
        <x:v>%</x:v>
      </x:c>
      <x:c r="I730" s="27" t="str">
        <x:v>累计同比</x:v>
      </x:c>
      <x:c r="J730" s="27" t="str">
        <x:v>全国</x:v>
      </x:c>
      <x:c r="K730" s="27" t="str">
        <x:v>中国</x:v>
      </x:c>
      <x:c r="L730" s="28" t="str">
        <x:v>海关总署</x:v>
      </x:c>
      <x:c r="M730" s="28" t="str">
        <x:v>getEcoDataIndAutomobile</x:v>
      </x:c>
      <x:c r="N730" s="27" t="str">
        <x:v>1998-01-31</x:v>
      </x:c>
      <x:c r="O730" s="27" t="str">
        <x:v>2026-06-30</x:v>
      </x:c>
      <x:c r="P730" s="27" t="str">
        <x:v>持续更新</x:v>
      </x:c>
      <x:c r="Q730" s="27" t="str"/>
      <x:c r="R730" s="28" t="str"/>
    </x:row>
    <x:row r="731" ht="48" customHeight="1">
      <x:c r="A731" s="27" t="str">
        <x:v>801880</x:v>
      </x:c>
      <x:c r="B731" s="27" t="str">
        <x:v>汽车</x:v>
      </x:c>
      <x:c r="C731" s="27" t="n">
        <x:v>10</x:v>
      </x:c>
      <x:c r="D731" s="27" t="str">
        <x:v>2070100971</x:v>
      </x:c>
      <x:c r="E731" s="28" t="str">
        <x:v>乘用车销量:广义乘用车:当月同比</x:v>
      </x:c>
      <x:c r="F731" s="28" t="str">
        <x:v>Passenger Car Sales Volume: Generalized Passenger: YoY</x:v>
      </x:c>
      <x:c r="G731" s="27" t="str">
        <x:v>月</x:v>
      </x:c>
      <x:c r="H731" s="27" t="str">
        <x:v>%</x:v>
      </x:c>
      <x:c r="I731" s="27" t="str">
        <x:v>当期同比</x:v>
      </x:c>
      <x:c r="J731" s="27" t="str">
        <x:v>全国</x:v>
      </x:c>
      <x:c r="K731" s="27" t="str">
        <x:v>中国</x:v>
      </x:c>
      <x:c r="L731" s="28" t="str">
        <x:v>全国乘用车市场信息联席会</x:v>
      </x:c>
      <x:c r="M731" s="28" t="str">
        <x:v>getEcoDataIndAutomobile</x:v>
      </x:c>
      <x:c r="N731" s="27" t="str">
        <x:v>2009-03-31</x:v>
      </x:c>
      <x:c r="O731" s="27" t="str">
        <x:v>2026-06-30</x:v>
      </x:c>
      <x:c r="P731" s="27" t="str">
        <x:v>持续更新</x:v>
      </x:c>
      <x:c r="Q731" s="27" t="str"/>
      <x:c r="R731" s="28" t="str"/>
    </x:row>
    <x:row r="732" ht="48" customHeight="1">
      <x:c r="A732" s="27" t="str">
        <x:v>801880</x:v>
      </x:c>
      <x:c r="B732" s="27" t="str">
        <x:v>汽车</x:v>
      </x:c>
      <x:c r="C732" s="27" t="n">
        <x:v>11</x:v>
      </x:c>
      <x:c r="D732" s="27" t="str">
        <x:v>1020001586</x:v>
      </x:c>
      <x:c r="E732" s="28" t="str">
        <x:v>产量:汽车:当月值</x:v>
      </x:c>
      <x:c r="F732" s="28" t="str">
        <x:v>Output: Automobile: Current Value (Month)</x:v>
      </x:c>
      <x:c r="G732" s="27" t="str">
        <x:v>月</x:v>
      </x:c>
      <x:c r="H732" s="27" t="str">
        <x:v>万辆</x:v>
      </x:c>
      <x:c r="I732" s="27" t="str">
        <x:v>当期值</x:v>
      </x:c>
      <x:c r="J732" s="27" t="str">
        <x:v>全国</x:v>
      </x:c>
      <x:c r="K732" s="27" t="str">
        <x:v>中国</x:v>
      </x:c>
      <x:c r="L732" s="28" t="str">
        <x:v>国家统计局</x:v>
      </x:c>
      <x:c r="M732" s="28" t="str">
        <x:v>getEcoDataChina</x:v>
      </x:c>
      <x:c r="N732" s="27" t="str">
        <x:v>1989-02-28</x:v>
      </x:c>
      <x:c r="O732" s="27" t="str">
        <x:v>2026-06-30</x:v>
      </x:c>
      <x:c r="P732" s="27" t="str">
        <x:v>持续更新</x:v>
      </x:c>
      <x:c r="Q732" s="27" t="str"/>
      <x:c r="R732" s="28" t="str"/>
    </x:row>
    <x:row r="733" ht="48" customHeight="1">
      <x:c r="A733" s="27" t="str">
        <x:v>801880</x:v>
      </x:c>
      <x:c r="B733" s="27" t="str">
        <x:v>汽车</x:v>
      </x:c>
      <x:c r="C733" s="27" t="n">
        <x:v>12</x:v>
      </x:c>
      <x:c r="D733" s="27" t="str">
        <x:v>1020008695</x:v>
      </x:c>
      <x:c r="E733" s="28" t="str">
        <x:v>产量:汽车:载货汽车:当月值</x:v>
      </x:c>
      <x:c r="F733" s="28" t="str">
        <x:v>Output: Automobile: Truck: Current Value (Month)</x:v>
      </x:c>
      <x:c r="G733" s="27" t="str">
        <x:v>月</x:v>
      </x:c>
      <x:c r="H733" s="27" t="str">
        <x:v>万辆</x:v>
      </x:c>
      <x:c r="I733" s="27" t="str">
        <x:v>当期值</x:v>
      </x:c>
      <x:c r="J733" s="27" t="str">
        <x:v>全国</x:v>
      </x:c>
      <x:c r="K733" s="27" t="str">
        <x:v>中国</x:v>
      </x:c>
      <x:c r="L733" s="28" t="str">
        <x:v>国家统计局</x:v>
      </x:c>
      <x:c r="M733" s="28" t="str">
        <x:v>getEcoDataChina</x:v>
      </x:c>
      <x:c r="N733" s="27" t="str">
        <x:v>1989-01-31</x:v>
      </x:c>
      <x:c r="O733" s="27" t="str">
        <x:v>2026-06-30</x:v>
      </x:c>
      <x:c r="P733" s="27" t="str">
        <x:v>持续更新</x:v>
      </x:c>
      <x:c r="Q733" s="27" t="str"/>
      <x:c r="R733" s="28" t="str"/>
    </x:row>
    <x:row r="734" ht="48" customHeight="1">
      <x:c r="A734" s="27" t="str">
        <x:v>801880</x:v>
      </x:c>
      <x:c r="B734" s="27" t="str">
        <x:v>汽车</x:v>
      </x:c>
      <x:c r="C734" s="27" t="n">
        <x:v>13</x:v>
      </x:c>
      <x:c r="D734" s="27" t="str">
        <x:v>1020001606</x:v>
      </x:c>
      <x:c r="E734" s="28" t="str">
        <x:v>产量:轿车:当月值</x:v>
      </x:c>
      <x:c r="F734" s="28" t="str">
        <x:v>Output: Basic passenger car(car)</x:v>
      </x:c>
      <x:c r="G734" s="27" t="str">
        <x:v>月</x:v>
      </x:c>
      <x:c r="H734" s="27" t="str">
        <x:v>万辆</x:v>
      </x:c>
      <x:c r="I734" s="27" t="str">
        <x:v>当期值</x:v>
      </x:c>
      <x:c r="J734" s="27" t="str">
        <x:v>全国</x:v>
      </x:c>
      <x:c r="K734" s="27" t="str">
        <x:v>中国</x:v>
      </x:c>
      <x:c r="L734" s="28" t="str">
        <x:v>国家统计局</x:v>
      </x:c>
      <x:c r="M734" s="28" t="str">
        <x:v>getEcoDataChina</x:v>
      </x:c>
      <x:c r="N734" s="27" t="str">
        <x:v>1989-02-28</x:v>
      </x:c>
      <x:c r="O734" s="27" t="str">
        <x:v>2026-06-30</x:v>
      </x:c>
      <x:c r="P734" s="27" t="str">
        <x:v>持续更新</x:v>
      </x:c>
      <x:c r="Q734" s="27" t="str"/>
      <x:c r="R734" s="28" t="str"/>
    </x:row>
    <x:row r="735" ht="48" customHeight="1">
      <x:c r="A735" s="27" t="str">
        <x:v>801880</x:v>
      </x:c>
      <x:c r="B735" s="27" t="str">
        <x:v>汽车</x:v>
      </x:c>
      <x:c r="C735" s="27" t="n">
        <x:v>14</x:v>
      </x:c>
      <x:c r="D735" s="27" t="str">
        <x:v>1020000201</x:v>
      </x:c>
      <x:c r="E735" s="28" t="str">
        <x:v>出口交货值:汽车制造业:当月同比</x:v>
      </x:c>
      <x:c r="F735" s="28" t="str">
        <x:v>Export Delivery Value: Automotive Manufacturing: Current YoY (Month)</x:v>
      </x:c>
      <x:c r="G735" s="27" t="str">
        <x:v>月</x:v>
      </x:c>
      <x:c r="H735" s="27" t="str">
        <x:v>%</x:v>
      </x:c>
      <x:c r="I735" s="27" t="str">
        <x:v>当期同比</x:v>
      </x:c>
      <x:c r="J735" s="27" t="str">
        <x:v>全国</x:v>
      </x:c>
      <x:c r="K735" s="27" t="str">
        <x:v>中国</x:v>
      </x:c>
      <x:c r="L735" s="28" t="str">
        <x:v>国家统计局</x:v>
      </x:c>
      <x:c r="M735" s="28" t="str">
        <x:v>getEcoDataChina</x:v>
      </x:c>
      <x:c r="N735" s="27" t="str">
        <x:v>2012-02-29</x:v>
      </x:c>
      <x:c r="O735" s="27" t="str">
        <x:v>2026-06-30</x:v>
      </x:c>
      <x:c r="P735" s="27" t="str">
        <x:v>持续更新</x:v>
      </x:c>
      <x:c r="Q735" s="27" t="str"/>
      <x:c r="R735" s="28" t="str"/>
    </x:row>
    <x:row r="736" ht="48" customHeight="1">
      <x:c r="A736" s="27" t="str">
        <x:v>801880</x:v>
      </x:c>
      <x:c r="B736" s="27" t="str">
        <x:v>汽车</x:v>
      </x:c>
      <x:c r="C736" s="27" t="n">
        <x:v>15</x:v>
      </x:c>
      <x:c r="D736" s="27" t="str">
        <x:v>1020000160</x:v>
      </x:c>
      <x:c r="E736" s="28" t="str">
        <x:v>出口交货值:汽车制造业:当期值</x:v>
      </x:c>
      <x:c r="F736" s="28" t="str">
        <x:v>Export Delivery Value: Automotive Manufacturing: Current Value</x:v>
      </x:c>
      <x:c r="G736" s="27" t="str">
        <x:v>月</x:v>
      </x:c>
      <x:c r="H736" s="27" t="str">
        <x:v>亿元</x:v>
      </x:c>
      <x:c r="I736" s="27" t="str">
        <x:v>当期值</x:v>
      </x:c>
      <x:c r="J736" s="27" t="str">
        <x:v>全国</x:v>
      </x:c>
      <x:c r="K736" s="27" t="str">
        <x:v>中国</x:v>
      </x:c>
      <x:c r="L736" s="28" t="str">
        <x:v>国家统计局</x:v>
      </x:c>
      <x:c r="M736" s="28" t="str">
        <x:v>getEcoDataChina</x:v>
      </x:c>
      <x:c r="N736" s="27" t="str">
        <x:v>2012-02-29</x:v>
      </x:c>
      <x:c r="O736" s="27" t="str">
        <x:v>2026-06-30</x:v>
      </x:c>
      <x:c r="P736" s="27" t="str">
        <x:v>持续更新</x:v>
      </x:c>
      <x:c r="Q736" s="27" t="str"/>
      <x:c r="R736" s="28" t="str"/>
    </x:row>
    <x:row r="737" ht="48" customHeight="1">
      <x:c r="A737" s="27" t="str">
        <x:v>801880</x:v>
      </x:c>
      <x:c r="B737" s="27" t="str">
        <x:v>汽车</x:v>
      </x:c>
      <x:c r="C737" s="27" t="n">
        <x:v>16</x:v>
      </x:c>
      <x:c r="D737" s="27" t="str">
        <x:v>2070936196</x:v>
      </x:c>
      <x:c r="E737" s="28" t="str">
        <x:v>出口数量:汽车整车:当月同比</x:v>
      </x:c>
      <x:c r="F737" s="28" t="str">
        <x:v>Export Quantity: Automobile Vehicles: YoY</x:v>
      </x:c>
      <x:c r="G737" s="27" t="str">
        <x:v>月</x:v>
      </x:c>
      <x:c r="H737" s="27" t="str">
        <x:v>%</x:v>
      </x:c>
      <x:c r="I737" s="27" t="str">
        <x:v>当期同比</x:v>
      </x:c>
      <x:c r="J737" s="27" t="str">
        <x:v>全国</x:v>
      </x:c>
      <x:c r="K737" s="27" t="str">
        <x:v>中国</x:v>
      </x:c>
      <x:c r="L737" s="28" t="str">
        <x:v>工信部</x:v>
      </x:c>
      <x:c r="M737" s="28" t="str">
        <x:v>getEcoDataIndAutomobile</x:v>
      </x:c>
      <x:c r="N737" s="27" t="str">
        <x:v>2009-03-31</x:v>
      </x:c>
      <x:c r="O737" s="27" t="str">
        <x:v>2026-06-30</x:v>
      </x:c>
      <x:c r="P737" s="27" t="str">
        <x:v>持续更新</x:v>
      </x:c>
      <x:c r="Q737" s="27" t="str"/>
      <x:c r="R737" s="28" t="str"/>
    </x:row>
    <x:row r="738" ht="48" customHeight="1">
      <x:c r="A738" s="27" t="str">
        <x:v>801880</x:v>
      </x:c>
      <x:c r="B738" s="27" t="str">
        <x:v>汽车</x:v>
      </x:c>
      <x:c r="C738" s="27" t="n">
        <x:v>17</x:v>
      </x:c>
      <x:c r="D738" s="27" t="str">
        <x:v>2070133167</x:v>
      </x:c>
      <x:c r="E738" s="28" t="str">
        <x:v>汽车经销商库存系数:同比</x:v>
      </x:c>
      <x:c r="F738" s="28" t="str">
        <x:v>Automobile Dealers Inventory Ration: YoY</x:v>
      </x:c>
      <x:c r="G738" s="27" t="str">
        <x:v>月</x:v>
      </x:c>
      <x:c r="H738" s="27" t="str">
        <x:v>%</x:v>
      </x:c>
      <x:c r="I738" s="27" t="str">
        <x:v>当期同比</x:v>
      </x:c>
      <x:c r="J738" s="27" t="str">
        <x:v>全国</x:v>
      </x:c>
      <x:c r="K738" s="27" t="str">
        <x:v>中国</x:v>
      </x:c>
      <x:c r="L738" s="28" t="str">
        <x:v>中国汽车流通协会</x:v>
      </x:c>
      <x:c r="M738" s="28" t="str">
        <x:v>getEcoDataIndAutomobile</x:v>
      </x:c>
      <x:c r="N738" s="27" t="str">
        <x:v>2014-01-31</x:v>
      </x:c>
      <x:c r="O738" s="27" t="str">
        <x:v>2026-06-30</x:v>
      </x:c>
      <x:c r="P738" s="27" t="str">
        <x:v>持续更新</x:v>
      </x:c>
      <x:c r="Q738" s="27" t="str"/>
      <x:c r="R738" s="28" t="str"/>
    </x:row>
    <x:row r="739" ht="48" customHeight="1">
      <x:c r="A739" s="27" t="str">
        <x:v>801880</x:v>
      </x:c>
      <x:c r="B739" s="27" t="str">
        <x:v>汽车</x:v>
      </x:c>
      <x:c r="C739" s="27" t="n">
        <x:v>18</x:v>
      </x:c>
      <x:c r="D739" s="27" t="str">
        <x:v>2070133155</x:v>
      </x:c>
      <x:c r="E739" s="28" t="str">
        <x:v>汽车经销商库存预警指数</x:v>
      </x:c>
      <x:c r="F739" s="28" t="str">
        <x:v>Automobile Inventory Warning Index</x:v>
      </x:c>
      <x:c r="G739" s="27" t="str">
        <x:v>月</x:v>
      </x:c>
      <x:c r="H739" s="27" t="str">
        <x:v>%</x:v>
      </x:c>
      <x:c r="I739" s="27" t="str">
        <x:v>当期值</x:v>
      </x:c>
      <x:c r="J739" s="27" t="str">
        <x:v>全国</x:v>
      </x:c>
      <x:c r="K739" s="27" t="str">
        <x:v>中国</x:v>
      </x:c>
      <x:c r="L739" s="28" t="str">
        <x:v>中国汽车流通协会</x:v>
      </x:c>
      <x:c r="M739" s="28" t="str">
        <x:v>getEcoDataIndAutomobile</x:v>
      </x:c>
      <x:c r="N739" s="27" t="str">
        <x:v>2014-01-31</x:v>
      </x:c>
      <x:c r="O739" s="27" t="str">
        <x:v>2026-07-31</x:v>
      </x:c>
      <x:c r="P739" s="27" t="str">
        <x:v>持续更新</x:v>
      </x:c>
      <x:c r="Q739" s="27" t="str"/>
      <x:c r="R739" s="28" t="str"/>
    </x:row>
    <x:row r="740" ht="48" customHeight="1">
      <x:c r="A740" s="27" t="str">
        <x:v>801880</x:v>
      </x:c>
      <x:c r="B740" s="27" t="str">
        <x:v>汽车</x:v>
      </x:c>
      <x:c r="C740" s="27" t="n">
        <x:v>19</x:v>
      </x:c>
      <x:c r="D740" s="27" t="str">
        <x:v>2070133159</x:v>
      </x:c>
      <x:c r="E740" s="28" t="str">
        <x:v>汽车经销商库存预警指数:从业人员指数</x:v>
      </x:c>
      <x:c r="F740" s="28" t="str">
        <x:v>Automobile Inventory Warning Index: Employment Index</x:v>
      </x:c>
      <x:c r="G740" s="27" t="str">
        <x:v>月</x:v>
      </x:c>
      <x:c r="H740" s="27" t="str">
        <x:v>%</x:v>
      </x:c>
      <x:c r="I740" s="27" t="str">
        <x:v>当期值</x:v>
      </x:c>
      <x:c r="J740" s="27" t="str">
        <x:v>全国</x:v>
      </x:c>
      <x:c r="K740" s="27" t="str">
        <x:v>中国</x:v>
      </x:c>
      <x:c r="L740" s="28" t="str">
        <x:v>中国汽车流通协会</x:v>
      </x:c>
      <x:c r="M740" s="28" t="str">
        <x:v>getEcoDataIndAutomobile</x:v>
      </x:c>
      <x:c r="N740" s="27" t="str">
        <x:v>2014-01-31</x:v>
      </x:c>
      <x:c r="O740" s="27" t="str">
        <x:v>2026-07-31</x:v>
      </x:c>
      <x:c r="P740" s="27" t="str">
        <x:v>持续更新</x:v>
      </x:c>
      <x:c r="Q740" s="27" t="str"/>
      <x:c r="R740" s="28" t="str"/>
    </x:row>
    <x:row r="741" ht="48" customHeight="1">
      <x:c r="A741" s="27" t="str">
        <x:v>801880</x:v>
      </x:c>
      <x:c r="B741" s="27" t="str">
        <x:v>汽车</x:v>
      </x:c>
      <x:c r="C741" s="27" t="n">
        <x:v>20</x:v>
      </x:c>
      <x:c r="D741" s="27" t="str">
        <x:v>2070133165</x:v>
      </x:c>
      <x:c r="E741" s="28" t="str">
        <x:v>汽车经销商库存预警指数:从业人员指数:环比增减</x:v>
      </x:c>
      <x:c r="F741" s="28" t="str">
        <x:v>Automobile Inventory Warning Index: Employee Index: Net Change from Preceding Period</x:v>
      </x:c>
      <x:c r="G741" s="27" t="str">
        <x:v>月</x:v>
      </x:c>
      <x:c r="H741" s="27" t="str">
        <x:v>%</x:v>
      </x:c>
      <x:c r="I741" s="27" t="str">
        <x:v>环比增减</x:v>
      </x:c>
      <x:c r="J741" s="27" t="str">
        <x:v>全国</x:v>
      </x:c>
      <x:c r="K741" s="27" t="str">
        <x:v>中国</x:v>
      </x:c>
      <x:c r="L741" s="28" t="str">
        <x:v>中国汽车流通协会</x:v>
      </x:c>
      <x:c r="M741" s="28" t="str">
        <x:v>getEcoDataIndAutomobile</x:v>
      </x:c>
      <x:c r="N741" s="27" t="str">
        <x:v>2014-01-31</x:v>
      </x:c>
      <x:c r="O741" s="27" t="str">
        <x:v>2026-07-31</x:v>
      </x:c>
      <x:c r="P741" s="27" t="str">
        <x:v>持续更新</x:v>
      </x:c>
      <x:c r="Q741" s="27" t="str"/>
      <x:c r="R741" s="28" t="str"/>
    </x:row>
    <x:row r="742" ht="48" customHeight="1">
      <x:c r="A742" s="27" t="str">
        <x:v>801880</x:v>
      </x:c>
      <x:c r="B742" s="27" t="str">
        <x:v>汽车</x:v>
      </x:c>
      <x:c r="C742" s="27" t="n">
        <x:v>21</x:v>
      </x:c>
      <x:c r="D742" s="27" t="str">
        <x:v>2070133156</x:v>
      </x:c>
      <x:c r="E742" s="28" t="str">
        <x:v>汽车经销商库存预警指数:市场总需求指数</x:v>
      </x:c>
      <x:c r="F742" s="28" t="str">
        <x:v>Automobile Inventory Warning Index: Total Market Demand Index</x:v>
      </x:c>
      <x:c r="G742" s="27" t="str">
        <x:v>月</x:v>
      </x:c>
      <x:c r="H742" s="27" t="str">
        <x:v>%</x:v>
      </x:c>
      <x:c r="I742" s="27" t="str">
        <x:v>当期值</x:v>
      </x:c>
      <x:c r="J742" s="27" t="str">
        <x:v>全国</x:v>
      </x:c>
      <x:c r="K742" s="27" t="str">
        <x:v>中国</x:v>
      </x:c>
      <x:c r="L742" s="28" t="str">
        <x:v>中国汽车流通协会</x:v>
      </x:c>
      <x:c r="M742" s="28" t="str">
        <x:v>getEcoDataIndAutomobile</x:v>
      </x:c>
      <x:c r="N742" s="27" t="str">
        <x:v>2014-01-31</x:v>
      </x:c>
      <x:c r="O742" s="27" t="str">
        <x:v>2026-07-31</x:v>
      </x:c>
      <x:c r="P742" s="27" t="str">
        <x:v>持续更新</x:v>
      </x:c>
      <x:c r="Q742" s="27" t="str"/>
      <x:c r="R742" s="28" t="str"/>
    </x:row>
    <x:row r="743" ht="48" customHeight="1">
      <x:c r="A743" s="27" t="str">
        <x:v>801880</x:v>
      </x:c>
      <x:c r="B743" s="27" t="str">
        <x:v>汽车</x:v>
      </x:c>
      <x:c r="C743" s="27" t="n">
        <x:v>22</x:v>
      </x:c>
      <x:c r="D743" s="27" t="str">
        <x:v>2070133162</x:v>
      </x:c>
      <x:c r="E743" s="28" t="str">
        <x:v>汽车经销商库存预警指数:市场总需求指数:环比增减</x:v>
      </x:c>
      <x:c r="F743" s="28" t="str">
        <x:v>Automobile Inventory Warning Index: Total Market Demand Index: Net Change from Preceding Period</x:v>
      </x:c>
      <x:c r="G743" s="27" t="str">
        <x:v>月</x:v>
      </x:c>
      <x:c r="H743" s="27" t="str">
        <x:v>%</x:v>
      </x:c>
      <x:c r="I743" s="27" t="str">
        <x:v>环比增减</x:v>
      </x:c>
      <x:c r="J743" s="27" t="str">
        <x:v>全国</x:v>
      </x:c>
      <x:c r="K743" s="27" t="str">
        <x:v>中国</x:v>
      </x:c>
      <x:c r="L743" s="28" t="str">
        <x:v>中国汽车流通协会</x:v>
      </x:c>
      <x:c r="M743" s="28" t="str">
        <x:v>getEcoDataIndAutomobile</x:v>
      </x:c>
      <x:c r="N743" s="27" t="str">
        <x:v>2014-01-31</x:v>
      </x:c>
      <x:c r="O743" s="27" t="str">
        <x:v>2026-07-31</x:v>
      </x:c>
      <x:c r="P743" s="27" t="str">
        <x:v>持续更新</x:v>
      </x:c>
      <x:c r="Q743" s="27" t="str"/>
      <x:c r="R743" s="28" t="str"/>
    </x:row>
    <x:row r="744" ht="48" customHeight="1">
      <x:c r="A744" s="27" t="str">
        <x:v>801880</x:v>
      </x:c>
      <x:c r="B744" s="27" t="str">
        <x:v>汽车</x:v>
      </x:c>
      <x:c r="C744" s="27" t="n">
        <x:v>23</x:v>
      </x:c>
      <x:c r="D744" s="27" t="str">
        <x:v>2070133157</x:v>
      </x:c>
      <x:c r="E744" s="28" t="str">
        <x:v>汽车经销商库存预警指数:库存指数</x:v>
      </x:c>
      <x:c r="F744" s="28" t="str">
        <x:v>Vehicle Inventory Alert Index: Inventory Index</x:v>
      </x:c>
      <x:c r="G744" s="27" t="str">
        <x:v>月</x:v>
      </x:c>
      <x:c r="H744" s="27" t="str">
        <x:v>%</x:v>
      </x:c>
      <x:c r="I744" s="27" t="str">
        <x:v>当期值</x:v>
      </x:c>
      <x:c r="J744" s="27" t="str">
        <x:v>全国</x:v>
      </x:c>
      <x:c r="K744" s="27" t="str">
        <x:v>中国</x:v>
      </x:c>
      <x:c r="L744" s="28" t="str">
        <x:v>中国汽车流通协会</x:v>
      </x:c>
      <x:c r="M744" s="28" t="str">
        <x:v>getEcoDataIndAutomobile</x:v>
      </x:c>
      <x:c r="N744" s="27" t="str">
        <x:v>2014-01-31</x:v>
      </x:c>
      <x:c r="O744" s="27" t="str">
        <x:v>2026-07-31</x:v>
      </x:c>
      <x:c r="P744" s="27" t="str">
        <x:v>持续更新</x:v>
      </x:c>
      <x:c r="Q744" s="27" t="str"/>
      <x:c r="R744" s="28" t="str"/>
    </x:row>
    <x:row r="745" ht="48" customHeight="1">
      <x:c r="A745" s="27" t="str">
        <x:v>801880</x:v>
      </x:c>
      <x:c r="B745" s="27" t="str">
        <x:v>汽车</x:v>
      </x:c>
      <x:c r="C745" s="27" t="n">
        <x:v>24</x:v>
      </x:c>
      <x:c r="D745" s="27" t="str">
        <x:v>2070900005</x:v>
      </x:c>
      <x:c r="E745" s="28" t="str">
        <x:v>轮胎经销商价格指数:卡客车</x:v>
      </x:c>
      <x:c r="F745" s="28" t="str">
        <x:v>TBR-Distributor Price Index</x:v>
      </x:c>
      <x:c r="G745" s="27" t="str">
        <x:v>月</x:v>
      </x:c>
      <x:c r="H745" s="27" t="str">
        <x:v>2011年5月=100</x:v>
      </x:c>
      <x:c r="I745" s="27" t="str">
        <x:v>当期值</x:v>
      </x:c>
      <x:c r="J745" s="27" t="str">
        <x:v>全国</x:v>
      </x:c>
      <x:c r="K745" s="27" t="str">
        <x:v>中国</x:v>
      </x:c>
      <x:c r="L745" s="28" t="str">
        <x:v>我的轮胎网</x:v>
      </x:c>
      <x:c r="M745" s="28" t="str">
        <x:v>getEcoDataIndAutomobile</x:v>
      </x:c>
      <x:c r="N745" s="27" t="str">
        <x:v>2011-05-31</x:v>
      </x:c>
      <x:c r="O745" s="27" t="str">
        <x:v>2026-06-30</x:v>
      </x:c>
      <x:c r="P745" s="27" t="str">
        <x:v>持续更新</x:v>
      </x:c>
      <x:c r="Q745" s="27" t="str"/>
      <x:c r="R745" s="28" t="str"/>
    </x:row>
    <x:row r="746" ht="48" customHeight="1">
      <x:c r="A746" s="27" t="str">
        <x:v>801880</x:v>
      </x:c>
      <x:c r="B746" s="27" t="str">
        <x:v>汽车</x:v>
      </x:c>
      <x:c r="C746" s="27" t="n">
        <x:v>25</x:v>
      </x:c>
      <x:c r="D746" s="27" t="str">
        <x:v>2070900004</x:v>
      </x:c>
      <x:c r="E746" s="28" t="str">
        <x:v>轮胎经销商价格指数:轿车</x:v>
      </x:c>
      <x:c r="F746" s="28" t="str">
        <x:v>PCR-Distributor Price Index</x:v>
      </x:c>
      <x:c r="G746" s="27" t="str">
        <x:v>月</x:v>
      </x:c>
      <x:c r="H746" s="27" t="str">
        <x:v>2011年5月=100</x:v>
      </x:c>
      <x:c r="I746" s="27" t="str">
        <x:v>当期值</x:v>
      </x:c>
      <x:c r="J746" s="27" t="str">
        <x:v>全国</x:v>
      </x:c>
      <x:c r="K746" s="27" t="str">
        <x:v>中国</x:v>
      </x:c>
      <x:c r="L746" s="28" t="str">
        <x:v>我的轮胎网</x:v>
      </x:c>
      <x:c r="M746" s="28" t="str">
        <x:v>getEcoDataIndAutomobile</x:v>
      </x:c>
      <x:c r="N746" s="27" t="str">
        <x:v>2011-05-31</x:v>
      </x:c>
      <x:c r="O746" s="27" t="str">
        <x:v>2026-06-30</x:v>
      </x:c>
      <x:c r="P746" s="27" t="str">
        <x:v>持续更新</x:v>
      </x:c>
      <x:c r="Q746" s="27" t="str"/>
      <x:c r="R746" s="28" t="str"/>
    </x:row>
    <x:row r="747" ht="48" customHeight="1">
      <x:c r="A747" s="27" t="str">
        <x:v>801880</x:v>
      </x:c>
      <x:c r="B747" s="27" t="str">
        <x:v>汽车</x:v>
      </x:c>
      <x:c r="C747" s="27" t="n">
        <x:v>26</x:v>
      </x:c>
      <x:c r="D747" s="27" t="str">
        <x:v>2070200020</x:v>
      </x:c>
      <x:c r="E747" s="28" t="str">
        <x:v>进口数量:卡车(包括整套散件):累计值</x:v>
      </x:c>
      <x:c r="F747" s="28" t="str">
        <x:v>Trucks(incl. Complete Set of Parts): Imports Quantity: YTD</x:v>
      </x:c>
      <x:c r="G747" s="27" t="str">
        <x:v>月</x:v>
      </x:c>
      <x:c r="H747" s="27" t="str">
        <x:v>辆</x:v>
      </x:c>
      <x:c r="I747" s="27" t="str">
        <x:v>累计值</x:v>
      </x:c>
      <x:c r="J747" s="27" t="str">
        <x:v>全国</x:v>
      </x:c>
      <x:c r="K747" s="27" t="str">
        <x:v>中国</x:v>
      </x:c>
      <x:c r="L747" s="28" t="str">
        <x:v>海关总署</x:v>
      </x:c>
      <x:c r="M747" s="28" t="str">
        <x:v>getEcoDataIndAutomobile</x:v>
      </x:c>
      <x:c r="N747" s="27" t="str">
        <x:v>1998-01-31</x:v>
      </x:c>
      <x:c r="O747" s="27" t="str">
        <x:v>2026-06-30</x:v>
      </x:c>
      <x:c r="P747" s="27" t="str">
        <x:v>持续更新</x:v>
      </x:c>
      <x:c r="Q747" s="27" t="str"/>
      <x:c r="R747" s="28" t="str"/>
    </x:row>
    <x:row r="748" ht="48" customHeight="1">
      <x:c r="A748" s="27" t="str">
        <x:v>801880</x:v>
      </x:c>
      <x:c r="B748" s="27" t="str">
        <x:v>汽车</x:v>
      </x:c>
      <x:c r="C748" s="27" t="n">
        <x:v>27</x:v>
      </x:c>
      <x:c r="D748" s="27" t="str">
        <x:v>2070100936</x:v>
      </x:c>
      <x:c r="E748" s="28" t="str">
        <x:v>乘用车周销量:同比上年同周</x:v>
      </x:c>
      <x:c r="F748" s="28" t="str">
        <x:v>Passenger Car Sales Volume of Week: Year Same Week Last Year:YoY</x:v>
      </x:c>
      <x:c r="G748" s="27" t="str">
        <x:v>周</x:v>
      </x:c>
      <x:c r="H748" s="27" t="str">
        <x:v>%</x:v>
      </x:c>
      <x:c r="I748" s="27" t="str">
        <x:v>当期同比</x:v>
      </x:c>
      <x:c r="J748" s="27" t="str"/>
      <x:c r="K748" s="27" t="str">
        <x:v>中国</x:v>
      </x:c>
      <x:c r="L748" s="28" t="str">
        <x:v>全国乘用车市场信息联席会</x:v>
      </x:c>
      <x:c r="M748" s="28" t="str">
        <x:v>getEcoDataIndAutomobile</x:v>
      </x:c>
      <x:c r="N748" s="27" t="str">
        <x:v>2010-11-05</x:v>
      </x:c>
      <x:c r="O748" s="27" t="str">
        <x:v>2026-07-31</x:v>
      </x:c>
      <x:c r="P748" s="27" t="str">
        <x:v>持续更新</x:v>
      </x:c>
      <x:c r="Q748" s="27" t="str"/>
      <x:c r="R748" s="28" t="str"/>
    </x:row>
    <x:row r="749" ht="48" customHeight="1">
      <x:c r="A749" s="27" t="str">
        <x:v>801880</x:v>
      </x:c>
      <x:c r="B749" s="27" t="str">
        <x:v>汽车</x:v>
      </x:c>
      <x:c r="C749" s="27" t="n">
        <x:v>28</x:v>
      </x:c>
      <x:c r="D749" s="27" t="str">
        <x:v>2070100935</x:v>
      </x:c>
      <x:c r="E749" s="28" t="str">
        <x:v>乘用车周销量:环比上月同周</x:v>
      </x:c>
      <x:c r="F749" s="28" t="str">
        <x:v>Passenger Car Sales Volume of Week: Same Week Last Month:WoW</x:v>
      </x:c>
      <x:c r="G749" s="27" t="str">
        <x:v>周</x:v>
      </x:c>
      <x:c r="H749" s="27" t="str">
        <x:v>%</x:v>
      </x:c>
      <x:c r="I749" s="27" t="str">
        <x:v>当期环比</x:v>
      </x:c>
      <x:c r="J749" s="27" t="str"/>
      <x:c r="K749" s="27" t="str">
        <x:v>中国</x:v>
      </x:c>
      <x:c r="L749" s="28" t="str">
        <x:v>全国乘用车市场信息联席会</x:v>
      </x:c>
      <x:c r="M749" s="28" t="str">
        <x:v>getEcoDataIndAutomobile</x:v>
      </x:c>
      <x:c r="N749" s="27" t="str">
        <x:v>2010-11-05</x:v>
      </x:c>
      <x:c r="O749" s="27" t="str">
        <x:v>2026-07-31</x:v>
      </x:c>
      <x:c r="P749" s="27" t="str">
        <x:v>持续更新</x:v>
      </x:c>
      <x:c r="Q749" s="27" t="str"/>
      <x:c r="R749" s="28" t="str"/>
    </x:row>
    <x:row r="750" ht="48" customHeight="1">
      <x:c r="A750" s="27" t="str">
        <x:v>801880</x:v>
      </x:c>
      <x:c r="B750" s="27" t="str">
        <x:v>汽车</x:v>
      </x:c>
      <x:c r="C750" s="27" t="n">
        <x:v>29</x:v>
      </x:c>
      <x:c r="D750" s="27" t="str">
        <x:v>2070100958</x:v>
      </x:c>
      <x:c r="E750" s="28" t="str">
        <x:v>乘用车产量:MPV:当月值</x:v>
      </x:c>
      <x:c r="F750" s="28" t="str">
        <x:v>Passenger Car Output: MPV: Current Value (Month)</x:v>
      </x:c>
      <x:c r="G750" s="27" t="str">
        <x:v>月</x:v>
      </x:c>
      <x:c r="H750" s="27" t="str">
        <x:v>辆</x:v>
      </x:c>
      <x:c r="I750" s="27" t="str">
        <x:v>当期值</x:v>
      </x:c>
      <x:c r="J750" s="27" t="str"/>
      <x:c r="K750" s="27" t="str"/>
      <x:c r="L750" s="28" t="str">
        <x:v>全国乘用车市场信息联席会</x:v>
      </x:c>
      <x:c r="M750" s="28" t="str">
        <x:v>getEcoDataIndAutomobile</x:v>
      </x:c>
      <x:c r="N750" s="27" t="str">
        <x:v>2008-03-31</x:v>
      </x:c>
      <x:c r="O750" s="27" t="str">
        <x:v>2026-06-30</x:v>
      </x:c>
      <x:c r="P750" s="27" t="str">
        <x:v>持续更新</x:v>
      </x:c>
      <x:c r="Q750" s="27" t="str"/>
      <x:c r="R750" s="28" t="str"/>
    </x:row>
    <x:row r="751" ht="48" customHeight="1">
      <x:c r="A751" s="27" t="str">
        <x:v>801880</x:v>
      </x:c>
      <x:c r="B751" s="27" t="str">
        <x:v>汽车</x:v>
      </x:c>
      <x:c r="C751" s="27" t="n">
        <x:v>30</x:v>
      </x:c>
      <x:c r="D751" s="27" t="str">
        <x:v>2070100953</x:v>
      </x:c>
      <x:c r="E751" s="28" t="str">
        <x:v>乘用车产量:SUV:当月值</x:v>
      </x:c>
      <x:c r="F751" s="28" t="str">
        <x:v>Passenger Car Output: SUV: Current Value (Month)</x:v>
      </x:c>
      <x:c r="G751" s="27" t="str">
        <x:v>月</x:v>
      </x:c>
      <x:c r="H751" s="27" t="str">
        <x:v>辆</x:v>
      </x:c>
      <x:c r="I751" s="27" t="str">
        <x:v>当期值</x:v>
      </x:c>
      <x:c r="J751" s="27" t="str"/>
      <x:c r="K751" s="27" t="str"/>
      <x:c r="L751" s="28" t="str">
        <x:v>全国乘用车市场信息联席会</x:v>
      </x:c>
      <x:c r="M751" s="28" t="str">
        <x:v>getEcoDataIndAutomobile</x:v>
      </x:c>
      <x:c r="N751" s="27" t="str">
        <x:v>2008-03-31</x:v>
      </x:c>
      <x:c r="O751" s="27" t="str">
        <x:v>2026-06-30</x:v>
      </x:c>
      <x:c r="P751" s="27" t="str">
        <x:v>持续更新</x:v>
      </x:c>
      <x:c r="Q751" s="27" t="str"/>
      <x:c r="R751" s="28" t="str"/>
    </x:row>
    <x:row r="752" ht="48" customHeight="1">
      <x:c r="A752" s="27" t="str">
        <x:v>801890</x:v>
      </x:c>
      <x:c r="B752" s="27" t="str">
        <x:v>机械设备</x:v>
      </x:c>
      <x:c r="C752" s="27" t="n">
        <x:v>1</x:v>
      </x:c>
      <x:c r="D752" s="27" t="str">
        <x:v>2080100030</x:v>
      </x:c>
      <x:c r="E752" s="28" t="str">
        <x:v>产量:中型拖拉机:当月值</x:v>
      </x:c>
      <x:c r="F752" s="28" t="str">
        <x:v>Output: Medium Tractor</x:v>
      </x:c>
      <x:c r="G752" s="27" t="str">
        <x:v>月</x:v>
      </x:c>
      <x:c r="H752" s="27" t="str">
        <x:v>台</x:v>
      </x:c>
      <x:c r="I752" s="27" t="str">
        <x:v>当期值</x:v>
      </x:c>
      <x:c r="J752" s="27" t="str">
        <x:v>全国</x:v>
      </x:c>
      <x:c r="K752" s="27" t="str">
        <x:v>中国</x:v>
      </x:c>
      <x:c r="L752" s="28" t="str">
        <x:v>国家统计局</x:v>
      </x:c>
      <x:c r="M752" s="28" t="str">
        <x:v>getEcoDataIndMachineryequipment</x:v>
      </x:c>
      <x:c r="N752" s="27" t="str">
        <x:v>2009-02-28</x:v>
      </x:c>
      <x:c r="O752" s="27" t="str">
        <x:v>2026-06-30</x:v>
      </x:c>
      <x:c r="P752" s="27" t="str">
        <x:v>持续更新</x:v>
      </x:c>
      <x:c r="Q752" s="27" t="str"/>
      <x:c r="R752" s="28" t="str"/>
    </x:row>
    <x:row r="753" ht="48" customHeight="1">
      <x:c r="A753" s="27" t="str">
        <x:v>801890</x:v>
      </x:c>
      <x:c r="B753" s="27" t="str">
        <x:v>机械设备</x:v>
      </x:c>
      <x:c r="C753" s="27" t="n">
        <x:v>2</x:v>
      </x:c>
      <x:c r="D753" s="27" t="str">
        <x:v>2080100028</x:v>
      </x:c>
      <x:c r="E753" s="28" t="str">
        <x:v>产量:大型拖拉机:当月值</x:v>
      </x:c>
      <x:c r="F753" s="28" t="str">
        <x:v>Output: Large Tractor</x:v>
      </x:c>
      <x:c r="G753" s="27" t="str">
        <x:v>月</x:v>
      </x:c>
      <x:c r="H753" s="27" t="str">
        <x:v>台</x:v>
      </x:c>
      <x:c r="I753" s="27" t="str">
        <x:v>当期值</x:v>
      </x:c>
      <x:c r="J753" s="27" t="str">
        <x:v>全国</x:v>
      </x:c>
      <x:c r="K753" s="27" t="str">
        <x:v>中国</x:v>
      </x:c>
      <x:c r="L753" s="28" t="str">
        <x:v>国家统计局</x:v>
      </x:c>
      <x:c r="M753" s="28" t="str">
        <x:v>getEcoDataIndMachineryequipment</x:v>
      </x:c>
      <x:c r="N753" s="27" t="str">
        <x:v>2009-02-28</x:v>
      </x:c>
      <x:c r="O753" s="27" t="str">
        <x:v>2026-06-30</x:v>
      </x:c>
      <x:c r="P753" s="27" t="str">
        <x:v>持续更新</x:v>
      </x:c>
      <x:c r="Q753" s="27" t="str"/>
      <x:c r="R753" s="28" t="str"/>
    </x:row>
    <x:row r="754" ht="48" customHeight="1">
      <x:c r="A754" s="27" t="str">
        <x:v>801890</x:v>
      </x:c>
      <x:c r="B754" s="27" t="str">
        <x:v>机械设备</x:v>
      </x:c>
      <x:c r="C754" s="27" t="n">
        <x:v>3</x:v>
      </x:c>
      <x:c r="D754" s="27" t="str">
        <x:v>2080100032</x:v>
      </x:c>
      <x:c r="E754" s="28" t="str">
        <x:v>产量:小型拖拉机:当月值</x:v>
      </x:c>
      <x:c r="F754" s="28" t="str">
        <x:v>Output: Small Tractor</x:v>
      </x:c>
      <x:c r="G754" s="27" t="str">
        <x:v>月</x:v>
      </x:c>
      <x:c r="H754" s="27" t="str">
        <x:v>万台</x:v>
      </x:c>
      <x:c r="I754" s="27" t="str">
        <x:v>当期值</x:v>
      </x:c>
      <x:c r="J754" s="27" t="str">
        <x:v>全国</x:v>
      </x:c>
      <x:c r="K754" s="27" t="str">
        <x:v>中国</x:v>
      </x:c>
      <x:c r="L754" s="28" t="str">
        <x:v>国家统计局</x:v>
      </x:c>
      <x:c r="M754" s="28" t="str">
        <x:v>getEcoDataIndMachineryequipment</x:v>
      </x:c>
      <x:c r="N754" s="27" t="str">
        <x:v>1989-02-28</x:v>
      </x:c>
      <x:c r="O754" s="27" t="str">
        <x:v>2026-06-30</x:v>
      </x:c>
      <x:c r="P754" s="27" t="str">
        <x:v>持续更新</x:v>
      </x:c>
      <x:c r="Q754" s="27" t="str"/>
      <x:c r="R754" s="28" t="str"/>
    </x:row>
    <x:row r="755" ht="48" customHeight="1">
      <x:c r="A755" s="27" t="str">
        <x:v>801890</x:v>
      </x:c>
      <x:c r="B755" s="27" t="str">
        <x:v>机械设备</x:v>
      </x:c>
      <x:c r="C755" s="27" t="n">
        <x:v>4</x:v>
      </x:c>
      <x:c r="D755" s="27" t="str">
        <x:v>1020008693</x:v>
      </x:c>
      <x:c r="E755" s="28" t="str">
        <x:v>产量:工业机器人:当月值</x:v>
      </x:c>
      <x:c r="F755" s="28" t="str">
        <x:v>Output: Industrial Robots: Current Value (Month)</x:v>
      </x:c>
      <x:c r="G755" s="27" t="str">
        <x:v>月</x:v>
      </x:c>
      <x:c r="H755" s="27" t="str">
        <x:v>套</x:v>
      </x:c>
      <x:c r="I755" s="27" t="str">
        <x:v>当期值</x:v>
      </x:c>
      <x:c r="J755" s="27" t="str">
        <x:v>全国</x:v>
      </x:c>
      <x:c r="K755" s="27" t="str">
        <x:v>中国</x:v>
      </x:c>
      <x:c r="L755" s="28" t="str">
        <x:v>国家统计局</x:v>
      </x:c>
      <x:c r="M755" s="28" t="str">
        <x:v>getEcoDataChina</x:v>
      </x:c>
      <x:c r="N755" s="27" t="str">
        <x:v>2016-03-31</x:v>
      </x:c>
      <x:c r="O755" s="27" t="str">
        <x:v>2026-06-30</x:v>
      </x:c>
      <x:c r="P755" s="27" t="str">
        <x:v>持续更新</x:v>
      </x:c>
      <x:c r="Q755" s="27" t="str"/>
      <x:c r="R755" s="28" t="str"/>
    </x:row>
    <x:row r="756" ht="48" customHeight="1">
      <x:c r="A756" s="27" t="str">
        <x:v>801890</x:v>
      </x:c>
      <x:c r="B756" s="27" t="str">
        <x:v>机械设备</x:v>
      </x:c>
      <x:c r="C756" s="27" t="n">
        <x:v>5</x:v>
      </x:c>
      <x:c r="D756" s="27" t="str">
        <x:v>2080100060</x:v>
      </x:c>
      <x:c r="E756" s="28" t="str">
        <x:v>产量:挖掘机:当月值</x:v>
      </x:c>
      <x:c r="F756" s="28" t="str">
        <x:v>Output: Excavator</x:v>
      </x:c>
      <x:c r="G756" s="27" t="str">
        <x:v>月</x:v>
      </x:c>
      <x:c r="H756" s="27" t="str">
        <x:v>台</x:v>
      </x:c>
      <x:c r="I756" s="27" t="str">
        <x:v>当期值</x:v>
      </x:c>
      <x:c r="J756" s="27" t="str">
        <x:v>全国</x:v>
      </x:c>
      <x:c r="K756" s="27" t="str">
        <x:v>中国</x:v>
      </x:c>
      <x:c r="L756" s="28" t="str">
        <x:v>国家统计局</x:v>
      </x:c>
      <x:c r="M756" s="28" t="str">
        <x:v>getEcoDataIndMachineryequipment</x:v>
      </x:c>
      <x:c r="N756" s="27" t="str">
        <x:v>2007-01-31</x:v>
      </x:c>
      <x:c r="O756" s="27" t="str">
        <x:v>2026-06-30</x:v>
      </x:c>
      <x:c r="P756" s="27" t="str">
        <x:v>持续更新</x:v>
      </x:c>
      <x:c r="Q756" s="27" t="str"/>
      <x:c r="R756" s="28" t="str"/>
    </x:row>
    <x:row r="757" ht="48" customHeight="1">
      <x:c r="A757" s="27" t="str">
        <x:v>801890</x:v>
      </x:c>
      <x:c r="B757" s="27" t="str">
        <x:v>机械设备</x:v>
      </x:c>
      <x:c r="C757" s="27" t="n">
        <x:v>6</x:v>
      </x:c>
      <x:c r="D757" s="27" t="str">
        <x:v>2080617129</x:v>
      </x:c>
      <x:c r="E757" s="28" t="str">
        <x:v>产量:电梯、自动扶梯及升降机:当月值</x:v>
      </x:c>
      <x:c r="F757" s="28" t="str">
        <x:v>Output: Elevators, Escalators and Lifts: Current Value (Month)</x:v>
      </x:c>
      <x:c r="G757" s="27" t="str">
        <x:v>月</x:v>
      </x:c>
      <x:c r="H757" s="27" t="str">
        <x:v>万台</x:v>
      </x:c>
      <x:c r="I757" s="27" t="str">
        <x:v>当期值</x:v>
      </x:c>
      <x:c r="J757" s="27" t="str">
        <x:v>全国</x:v>
      </x:c>
      <x:c r="K757" s="27" t="str">
        <x:v>中国</x:v>
      </x:c>
      <x:c r="L757" s="28" t="str">
        <x:v>国家统计局</x:v>
      </x:c>
      <x:c r="M757" s="28" t="str">
        <x:v>getEcoDataIndMachineryequipment</x:v>
      </x:c>
      <x:c r="N757" s="27" t="str">
        <x:v>2015-02-28</x:v>
      </x:c>
      <x:c r="O757" s="27" t="str">
        <x:v>2026-06-30</x:v>
      </x:c>
      <x:c r="P757" s="27" t="str">
        <x:v>持续更新</x:v>
      </x:c>
      <x:c r="Q757" s="27" t="str"/>
      <x:c r="R757" s="28" t="str"/>
    </x:row>
    <x:row r="758" ht="48" customHeight="1">
      <x:c r="A758" s="27" t="str">
        <x:v>801890</x:v>
      </x:c>
      <x:c r="B758" s="27" t="str">
        <x:v>机械设备</x:v>
      </x:c>
      <x:c r="C758" s="27" t="n">
        <x:v>7</x:v>
      </x:c>
      <x:c r="D758" s="27" t="str">
        <x:v>2080100004</x:v>
      </x:c>
      <x:c r="E758" s="28" t="str">
        <x:v>产量:金属切削机床:当月值</x:v>
      </x:c>
      <x:c r="F758" s="28" t="str">
        <x:v>Output: Metal Cutting Machine Tool</x:v>
      </x:c>
      <x:c r="G758" s="27" t="str">
        <x:v>月</x:v>
      </x:c>
      <x:c r="H758" s="27" t="str">
        <x:v>万台</x:v>
      </x:c>
      <x:c r="I758" s="27" t="str">
        <x:v>当期值</x:v>
      </x:c>
      <x:c r="J758" s="27" t="str">
        <x:v>全国</x:v>
      </x:c>
      <x:c r="K758" s="27" t="str">
        <x:v>中国</x:v>
      </x:c>
      <x:c r="L758" s="28" t="str">
        <x:v>国家统计局</x:v>
      </x:c>
      <x:c r="M758" s="28" t="str">
        <x:v>getEcoDataIndMachineryequipment</x:v>
      </x:c>
      <x:c r="N758" s="27" t="str">
        <x:v>1989-02-28</x:v>
      </x:c>
      <x:c r="O758" s="27" t="str">
        <x:v>2026-06-30</x:v>
      </x:c>
      <x:c r="P758" s="27" t="str">
        <x:v>持续更新</x:v>
      </x:c>
      <x:c r="Q758" s="27" t="str"/>
      <x:c r="R758" s="28" t="str"/>
    </x:row>
    <x:row r="759" ht="48" customHeight="1">
      <x:c r="A759" s="27" t="str">
        <x:v>801890</x:v>
      </x:c>
      <x:c r="B759" s="27" t="str">
        <x:v>机械设备</x:v>
      </x:c>
      <x:c r="C759" s="27" t="n">
        <x:v>8</x:v>
      </x:c>
      <x:c r="D759" s="27" t="str">
        <x:v>2080106991</x:v>
      </x:c>
      <x:c r="E759" s="28" t="str">
        <x:v>产量:金属成形机床:当月值</x:v>
      </x:c>
      <x:c r="F759" s="28" t="str">
        <x:v>Output: Metal Forming Machines: Current Value (Month)</x:v>
      </x:c>
      <x:c r="G759" s="27" t="str">
        <x:v>月</x:v>
      </x:c>
      <x:c r="H759" s="27" t="str">
        <x:v>万台</x:v>
      </x:c>
      <x:c r="I759" s="27" t="str">
        <x:v>当期值</x:v>
      </x:c>
      <x:c r="J759" s="27" t="str">
        <x:v>全国</x:v>
      </x:c>
      <x:c r="K759" s="27" t="str">
        <x:v>中国</x:v>
      </x:c>
      <x:c r="L759" s="28" t="str">
        <x:v>国家统计局</x:v>
      </x:c>
      <x:c r="M759" s="28" t="str">
        <x:v>getEcoDataIndMachineryequipment</x:v>
      </x:c>
      <x:c r="N759" s="27" t="str">
        <x:v>2000-07-31</x:v>
      </x:c>
      <x:c r="O759" s="27" t="str">
        <x:v>2026-06-30</x:v>
      </x:c>
      <x:c r="P759" s="27" t="str">
        <x:v>持续更新</x:v>
      </x:c>
      <x:c r="Q759" s="27" t="str"/>
      <x:c r="R759" s="28" t="str"/>
    </x:row>
    <x:row r="760" ht="48" customHeight="1">
      <x:c r="A760" s="27" t="str">
        <x:v>801890</x:v>
      </x:c>
      <x:c r="B760" s="27" t="str">
        <x:v>机械设备</x:v>
      </x:c>
      <x:c r="C760" s="27" t="n">
        <x:v>9</x:v>
      </x:c>
      <x:c r="D760" s="27" t="str">
        <x:v>2087006727</x:v>
      </x:c>
      <x:c r="E760" s="28" t="str">
        <x:v>出口金额(美元):专用于或主要用于加工机床等机器的零件、附件(8466):当月值</x:v>
      </x:c>
      <x:c r="F760" s="28" t="str">
        <x:v>Export Value (USD): Parts and Accessories Specially or Mainly Used for Processing Machines such as Machine Tools(8466): Current Month Value</x:v>
      </x:c>
      <x:c r="G760" s="27" t="str">
        <x:v>月</x:v>
      </x:c>
      <x:c r="H760" s="27" t="str">
        <x:v>美元</x:v>
      </x:c>
      <x:c r="I760" s="27" t="str">
        <x:v>当期值</x:v>
      </x:c>
      <x:c r="J760" s="27" t="str">
        <x:v>中国</x:v>
      </x:c>
      <x:c r="K760" s="27" t="str">
        <x:v>中国</x:v>
      </x:c>
      <x:c r="L760" s="28" t="str">
        <x:v>海关总署</x:v>
      </x:c>
      <x:c r="M760" s="28" t="str">
        <x:v>getEcoDataIndMachineryequipment</x:v>
      </x:c>
      <x:c r="N760" s="27" t="str">
        <x:v>2015-01-31</x:v>
      </x:c>
      <x:c r="O760" s="27" t="str">
        <x:v>2026-06-30</x:v>
      </x:c>
      <x:c r="P760" s="27" t="str">
        <x:v>持续更新</x:v>
      </x:c>
      <x:c r="Q760" s="27" t="str"/>
      <x:c r="R760" s="28" t="str"/>
    </x:row>
    <x:row r="761" ht="48" customHeight="1">
      <x:c r="A761" s="27" t="str">
        <x:v>801890</x:v>
      </x:c>
      <x:c r="B761" s="27" t="str">
        <x:v>机械设备</x:v>
      </x:c>
      <x:c r="C761" s="27" t="n">
        <x:v>10</x:v>
      </x:c>
      <x:c r="D761" s="27" t="str">
        <x:v>2087006951</x:v>
      </x:c>
      <x:c r="E761" s="28" t="str">
        <x:v>出口金额(美元):传动轴及曲柄;轴承座及滑动轴承(8483):当月值</x:v>
      </x:c>
      <x:c r="F761" s="28" t="str">
        <x:v>Export Value (USD): Transmission Shaft and Crank;Bearing Pedestal and Sliding Bearing(8483): Current Month Value</x:v>
      </x:c>
      <x:c r="G761" s="27" t="str">
        <x:v>月</x:v>
      </x:c>
      <x:c r="H761" s="27" t="str">
        <x:v>美元</x:v>
      </x:c>
      <x:c r="I761" s="27" t="str">
        <x:v>当期值</x:v>
      </x:c>
      <x:c r="J761" s="27" t="str">
        <x:v>中国</x:v>
      </x:c>
      <x:c r="K761" s="27" t="str">
        <x:v>中国</x:v>
      </x:c>
      <x:c r="L761" s="28" t="str">
        <x:v>海关总署</x:v>
      </x:c>
      <x:c r="M761" s="28" t="str">
        <x:v>getEcoDataIndMachineryequipment</x:v>
      </x:c>
      <x:c r="N761" s="27" t="str">
        <x:v>2015-01-31</x:v>
      </x:c>
      <x:c r="O761" s="27" t="str">
        <x:v>2026-06-30</x:v>
      </x:c>
      <x:c r="P761" s="27" t="str">
        <x:v>持续更新</x:v>
      </x:c>
      <x:c r="Q761" s="27" t="str"/>
      <x:c r="R761" s="28" t="str"/>
    </x:row>
    <x:row r="762" ht="48" customHeight="1">
      <x:c r="A762" s="27" t="str">
        <x:v>801890</x:v>
      </x:c>
      <x:c r="B762" s="27" t="str">
        <x:v>机械设备</x:v>
      </x:c>
      <x:c r="C762" s="27" t="n">
        <x:v>11</x:v>
      </x:c>
      <x:c r="D762" s="27" t="str">
        <x:v>2087006657</x:v>
      </x:c>
      <x:c r="E762" s="28" t="str">
        <x:v>出口金额(美元):切削金属或金属陶瓷的精加工机床(8461):当月值</x:v>
      </x:c>
      <x:c r="F762" s="28" t="str">
        <x:v>Export Value (USD): Finishing Machine Tool for Cutting Metal or Cermet(8461): Current Month Value</x:v>
      </x:c>
      <x:c r="G762" s="27" t="str">
        <x:v>月</x:v>
      </x:c>
      <x:c r="H762" s="27" t="str">
        <x:v>美元</x:v>
      </x:c>
      <x:c r="I762" s="27" t="str">
        <x:v>当期值</x:v>
      </x:c>
      <x:c r="J762" s="27" t="str">
        <x:v>中国</x:v>
      </x:c>
      <x:c r="K762" s="27" t="str">
        <x:v>中国</x:v>
      </x:c>
      <x:c r="L762" s="28" t="str">
        <x:v>海关总署</x:v>
      </x:c>
      <x:c r="M762" s="28" t="str">
        <x:v>getEcoDataIndMachineryequipment</x:v>
      </x:c>
      <x:c r="N762" s="27" t="str">
        <x:v>2015-01-31</x:v>
      </x:c>
      <x:c r="O762" s="27" t="str">
        <x:v>2026-06-30</x:v>
      </x:c>
      <x:c r="P762" s="27" t="str">
        <x:v>持续更新</x:v>
      </x:c>
      <x:c r="Q762" s="27" t="str"/>
      <x:c r="R762" s="28" t="str"/>
    </x:row>
    <x:row r="763" ht="48" customHeight="1">
      <x:c r="A763" s="27" t="str">
        <x:v>801890</x:v>
      </x:c>
      <x:c r="B763" s="27" t="str">
        <x:v>机械设备</x:v>
      </x:c>
      <x:c r="C763" s="27" t="n">
        <x:v>12</x:v>
      </x:c>
      <x:c r="D763" s="27" t="str">
        <x:v>2087006629</x:v>
      </x:c>
      <x:c r="E763" s="28" t="str">
        <x:v>出口金额(美元):切削金属的钻床、镗床、铣床、攻丝机床(8459):当月值</x:v>
      </x:c>
      <x:c r="F763" s="28" t="str">
        <x:v>Export Value (USD): Drilling Machine, Boring Machine, Milling Machine and Tapping Machine for Cutting Metal(8459): Current Month Value</x:v>
      </x:c>
      <x:c r="G763" s="27" t="str">
        <x:v>月</x:v>
      </x:c>
      <x:c r="H763" s="27" t="str">
        <x:v>美元</x:v>
      </x:c>
      <x:c r="I763" s="27" t="str">
        <x:v>当期值</x:v>
      </x:c>
      <x:c r="J763" s="27" t="str">
        <x:v>中国</x:v>
      </x:c>
      <x:c r="K763" s="27" t="str">
        <x:v>中国</x:v>
      </x:c>
      <x:c r="L763" s="28" t="str">
        <x:v>海关总署</x:v>
      </x:c>
      <x:c r="M763" s="28" t="str">
        <x:v>getEcoDataIndMachineryequipment</x:v>
      </x:c>
      <x:c r="N763" s="27" t="str">
        <x:v>2015-01-31</x:v>
      </x:c>
      <x:c r="O763" s="27" t="str">
        <x:v>2026-06-30</x:v>
      </x:c>
      <x:c r="P763" s="27" t="str">
        <x:v>持续更新</x:v>
      </x:c>
      <x:c r="Q763" s="27" t="str"/>
      <x:c r="R763" s="28" t="str"/>
    </x:row>
    <x:row r="764" ht="48" customHeight="1">
      <x:c r="A764" s="27" t="str">
        <x:v>801890</x:v>
      </x:c>
      <x:c r="B764" s="27" t="str">
        <x:v>机械设备</x:v>
      </x:c>
      <x:c r="C764" s="27" t="n">
        <x:v>13</x:v>
      </x:c>
      <x:c r="D764" s="27" t="str">
        <x:v>2087006601</x:v>
      </x:c>
      <x:c r="E764" s="28" t="str">
        <x:v>出口金额(美元):加工金属的加工中心、单工位组合机床等(8457):当月值</x:v>
      </x:c>
      <x:c r="F764" s="28" t="str">
        <x:v>Export Value (USD): Metal Processing Center, Single Station Modular Machine Tool, Etc(8457): Current Month Value</x:v>
      </x:c>
      <x:c r="G764" s="27" t="str">
        <x:v>月</x:v>
      </x:c>
      <x:c r="H764" s="27" t="str">
        <x:v>美元</x:v>
      </x:c>
      <x:c r="I764" s="27" t="str">
        <x:v>当期值</x:v>
      </x:c>
      <x:c r="J764" s="27" t="str">
        <x:v>中国</x:v>
      </x:c>
      <x:c r="K764" s="27" t="str">
        <x:v>中国</x:v>
      </x:c>
      <x:c r="L764" s="28" t="str">
        <x:v>海关总署</x:v>
      </x:c>
      <x:c r="M764" s="28" t="str">
        <x:v>getEcoDataIndMachineryequipment</x:v>
      </x:c>
      <x:c r="N764" s="27" t="str">
        <x:v>2015-01-31</x:v>
      </x:c>
      <x:c r="O764" s="27" t="str">
        <x:v>2026-06-30</x:v>
      </x:c>
      <x:c r="P764" s="27" t="str">
        <x:v>持续更新</x:v>
      </x:c>
      <x:c r="Q764" s="27" t="str"/>
      <x:c r="R764" s="28" t="str"/>
    </x:row>
    <x:row r="765" ht="48" customHeight="1">
      <x:c r="A765" s="27" t="str">
        <x:v>801890</x:v>
      </x:c>
      <x:c r="B765" s="27" t="str">
        <x:v>机械设备</x:v>
      </x:c>
      <x:c r="C765" s="27" t="n">
        <x:v>14</x:v>
      </x:c>
      <x:c r="D765" s="27" t="str">
        <x:v>2087006671</x:v>
      </x:c>
      <x:c r="E765" s="28" t="str">
        <x:v>出口金额(美元):加工金属的锻造或冲压机床(8462):当月值</x:v>
      </x:c>
      <x:c r="F765" s="28" t="str">
        <x:v>Export Value (USD): forging or Stamping Machine Tool for Processing Metal(8462): Current Month Value</x:v>
      </x:c>
      <x:c r="G765" s="27" t="str">
        <x:v>月</x:v>
      </x:c>
      <x:c r="H765" s="27" t="str">
        <x:v>美元</x:v>
      </x:c>
      <x:c r="I765" s="27" t="str">
        <x:v>当期值</x:v>
      </x:c>
      <x:c r="J765" s="27" t="str">
        <x:v>中国</x:v>
      </x:c>
      <x:c r="K765" s="27" t="str">
        <x:v>中国</x:v>
      </x:c>
      <x:c r="L765" s="28" t="str">
        <x:v>海关总署</x:v>
      </x:c>
      <x:c r="M765" s="28" t="str">
        <x:v>getEcoDataIndMachineryequipment</x:v>
      </x:c>
      <x:c r="N765" s="27" t="str">
        <x:v>2015-01-31</x:v>
      </x:c>
      <x:c r="O765" s="27" t="str">
        <x:v>2026-06-30</x:v>
      </x:c>
      <x:c r="P765" s="27" t="str">
        <x:v>持续更新</x:v>
      </x:c>
      <x:c r="Q765" s="27" t="str"/>
      <x:c r="R765" s="28" t="str"/>
    </x:row>
    <x:row r="766" ht="48" customHeight="1">
      <x:c r="A766" s="27" t="str">
        <x:v>801890</x:v>
      </x:c>
      <x:c r="B766" s="27" t="str">
        <x:v>机械设备</x:v>
      </x:c>
      <x:c r="C766" s="27" t="n">
        <x:v>15</x:v>
      </x:c>
      <x:c r="D766" s="27" t="str">
        <x:v>2087006643</x:v>
      </x:c>
      <x:c r="E766" s="28" t="str">
        <x:v>出口金额(美元):去毛刺、刃磨等精加工的机床(8460):当月值</x:v>
      </x:c>
      <x:c r="F766" s="28" t="str">
        <x:v>Export Value (USD): Deburring, Grinding and Other Finishing Machine Tools(8460): Current Month Value</x:v>
      </x:c>
      <x:c r="G766" s="27" t="str">
        <x:v>月</x:v>
      </x:c>
      <x:c r="H766" s="27" t="str">
        <x:v>美元</x:v>
      </x:c>
      <x:c r="I766" s="27" t="str">
        <x:v>当期值</x:v>
      </x:c>
      <x:c r="J766" s="27" t="str">
        <x:v>中国</x:v>
      </x:c>
      <x:c r="K766" s="27" t="str">
        <x:v>中国</x:v>
      </x:c>
      <x:c r="L766" s="28" t="str">
        <x:v>海关总署</x:v>
      </x:c>
      <x:c r="M766" s="28" t="str">
        <x:v>getEcoDataIndMachineryequipment</x:v>
      </x:c>
      <x:c r="N766" s="27" t="str">
        <x:v>2015-01-31</x:v>
      </x:c>
      <x:c r="O766" s="27" t="str">
        <x:v>2026-06-30</x:v>
      </x:c>
      <x:c r="P766" s="27" t="str">
        <x:v>持续更新</x:v>
      </x:c>
      <x:c r="Q766" s="27" t="str"/>
      <x:c r="R766" s="28" t="str"/>
    </x:row>
    <x:row r="767" ht="48" customHeight="1">
      <x:c r="A767" s="27" t="str">
        <x:v>801890</x:v>
      </x:c>
      <x:c r="B767" s="27" t="str">
        <x:v>机械设备</x:v>
      </x:c>
      <x:c r="C767" s="27" t="n">
        <x:v>16</x:v>
      </x:c>
      <x:c r="D767" s="27" t="str">
        <x:v>2087006181</x:v>
      </x:c>
      <x:c r="E767" s="28" t="str">
        <x:v>出口金额(美元):叉车;其他装有升降或搬运装置的工作车(8427):当月值</x:v>
      </x:c>
      <x:c r="F767" s="28" t="str">
        <x:v>Export Value (USD): forklift;Other Work Vehicles Equipped with Lifting or Handling Devices(8427): Current Month Value</x:v>
      </x:c>
      <x:c r="G767" s="27" t="str">
        <x:v>月</x:v>
      </x:c>
      <x:c r="H767" s="27" t="str">
        <x:v>美元</x:v>
      </x:c>
      <x:c r="I767" s="27" t="str">
        <x:v>当期值</x:v>
      </x:c>
      <x:c r="J767" s="27" t="str">
        <x:v>中国</x:v>
      </x:c>
      <x:c r="K767" s="27" t="str">
        <x:v>中国</x:v>
      </x:c>
      <x:c r="L767" s="28" t="str">
        <x:v>海关总署</x:v>
      </x:c>
      <x:c r="M767" s="28" t="str">
        <x:v>getEcoDataIndMachineryequipment</x:v>
      </x:c>
      <x:c r="N767" s="27" t="str">
        <x:v>2015-01-31</x:v>
      </x:c>
      <x:c r="O767" s="27" t="str">
        <x:v>2026-06-30</x:v>
      </x:c>
      <x:c r="P767" s="27" t="str">
        <x:v>持续更新</x:v>
      </x:c>
      <x:c r="Q767" s="27" t="str"/>
      <x:c r="R767" s="28" t="str"/>
    </x:row>
    <x:row r="768" ht="48" customHeight="1">
      <x:c r="A768" s="27" t="str">
        <x:v>801890</x:v>
      </x:c>
      <x:c r="B768" s="27" t="str">
        <x:v>机械设备</x:v>
      </x:c>
      <x:c r="C768" s="27" t="n">
        <x:v>17</x:v>
      </x:c>
      <x:c r="D768" s="27" t="str">
        <x:v>2087006713</x:v>
      </x:c>
      <x:c r="E768" s="28" t="str">
        <x:v>出口金额(美元):木材、软木等或类似硬质材料的加工机床(8465):当月值</x:v>
      </x:c>
      <x:c r="F768" s="28" t="str">
        <x:v>Export Value (USD): Machine Tool for Processing Wood, Cork, Etc. or Similar Hard Materials(8465): Current Month Value</x:v>
      </x:c>
      <x:c r="G768" s="27" t="str">
        <x:v>月</x:v>
      </x:c>
      <x:c r="H768" s="27" t="str">
        <x:v>美元</x:v>
      </x:c>
      <x:c r="I768" s="27" t="str">
        <x:v>当期值</x:v>
      </x:c>
      <x:c r="J768" s="27" t="str">
        <x:v>中国</x:v>
      </x:c>
      <x:c r="K768" s="27" t="str">
        <x:v>中国</x:v>
      </x:c>
      <x:c r="L768" s="28" t="str">
        <x:v>海关总署</x:v>
      </x:c>
      <x:c r="M768" s="28" t="str">
        <x:v>getEcoDataIndMachineryequipment</x:v>
      </x:c>
      <x:c r="N768" s="27" t="str">
        <x:v>2015-01-31</x:v>
      </x:c>
      <x:c r="O768" s="27" t="str">
        <x:v>2026-06-30</x:v>
      </x:c>
      <x:c r="P768" s="27" t="str">
        <x:v>持续更新</x:v>
      </x:c>
      <x:c r="Q768" s="27" t="str"/>
      <x:c r="R768" s="28" t="str"/>
    </x:row>
    <x:row r="769" ht="48" customHeight="1">
      <x:c r="A769" s="27" t="str">
        <x:v>801890</x:v>
      </x:c>
      <x:c r="B769" s="27" t="str">
        <x:v>机械设备</x:v>
      </x:c>
      <x:c r="C769" s="27" t="n">
        <x:v>18</x:v>
      </x:c>
      <x:c r="D769" s="27" t="str">
        <x:v>2087005985</x:v>
      </x:c>
      <x:c r="E769" s="28" t="str">
        <x:v>出口金额(美元):液体泵,不论是否装有计量装置;液体提升机(8413):当月值</x:v>
      </x:c>
      <x:c r="F769" s="28" t="str">
        <x:v>Export Value (USD): Liquid Pumps, Whether or Not Equipped with Metering Devices;Liquid Elevator(8413): Current Month Value</x:v>
      </x:c>
      <x:c r="G769" s="27" t="str">
        <x:v>月</x:v>
      </x:c>
      <x:c r="H769" s="27" t="str">
        <x:v>美元</x:v>
      </x:c>
      <x:c r="I769" s="27" t="str">
        <x:v>当期值</x:v>
      </x:c>
      <x:c r="J769" s="27" t="str">
        <x:v>中国</x:v>
      </x:c>
      <x:c r="K769" s="27" t="str">
        <x:v>中国</x:v>
      </x:c>
      <x:c r="L769" s="28" t="str">
        <x:v>海关总署</x:v>
      </x:c>
      <x:c r="M769" s="28" t="str">
        <x:v>getEcoDataIndMachineryequipment</x:v>
      </x:c>
      <x:c r="N769" s="27" t="str">
        <x:v>2015-01-31</x:v>
      </x:c>
      <x:c r="O769" s="27" t="str">
        <x:v>2026-06-30</x:v>
      </x:c>
      <x:c r="P769" s="27" t="str">
        <x:v>持续更新</x:v>
      </x:c>
      <x:c r="Q769" s="27" t="str"/>
      <x:c r="R769" s="28" t="str"/>
    </x:row>
    <x:row r="770" ht="48" customHeight="1">
      <x:c r="A770" s="27" t="str">
        <x:v>801890</x:v>
      </x:c>
      <x:c r="B770" s="27" t="str">
        <x:v>机械设备</x:v>
      </x:c>
      <x:c r="C770" s="27" t="n">
        <x:v>19</x:v>
      </x:c>
      <x:c r="D770" s="27" t="str">
        <x:v>2087006937</x:v>
      </x:c>
      <x:c r="E770" s="28" t="str">
        <x:v>出口金额(美元):滚动轴承(8482):当月值</x:v>
      </x:c>
      <x:c r="F770" s="28" t="str">
        <x:v>Export Value (USD): Rolling Bearing(8482): Current Month Value</x:v>
      </x:c>
      <x:c r="G770" s="27" t="str">
        <x:v>月</x:v>
      </x:c>
      <x:c r="H770" s="27" t="str">
        <x:v>美元</x:v>
      </x:c>
      <x:c r="I770" s="27" t="str">
        <x:v>当期值</x:v>
      </x:c>
      <x:c r="J770" s="27" t="str">
        <x:v>中国</x:v>
      </x:c>
      <x:c r="K770" s="27" t="str">
        <x:v>中国</x:v>
      </x:c>
      <x:c r="L770" s="28" t="str">
        <x:v>海关总署</x:v>
      </x:c>
      <x:c r="M770" s="28" t="str">
        <x:v>getEcoDataIndMachineryequipment</x:v>
      </x:c>
      <x:c r="N770" s="27" t="str">
        <x:v>2015-01-31</x:v>
      </x:c>
      <x:c r="O770" s="27" t="str">
        <x:v>2026-06-30</x:v>
      </x:c>
      <x:c r="P770" s="27" t="str">
        <x:v>持续更新</x:v>
      </x:c>
      <x:c r="Q770" s="27" t="str"/>
      <x:c r="R770" s="28" t="str"/>
    </x:row>
    <x:row r="771" ht="48" customHeight="1">
      <x:c r="A771" s="27" t="str">
        <x:v>801890</x:v>
      </x:c>
      <x:c r="B771" s="27" t="str">
        <x:v>机械设备</x:v>
      </x:c>
      <x:c r="C771" s="27" t="n">
        <x:v>20</x:v>
      </x:c>
      <x:c r="D771" s="27" t="str">
        <x:v>2087006587</x:v>
      </x:c>
      <x:c r="E771" s="28" t="str">
        <x:v>出口金额(美元):用激光、其他光等或等离子弧处理材料的加工机床(8456):当月值</x:v>
      </x:c>
      <x:c r="F771" s="28" t="str">
        <x:v>Export Value (USD): Machine Tool for Processing Materials with Laser, Other Light, Etc. or Plasma Arc(8456): Current Month Value</x:v>
      </x:c>
      <x:c r="G771" s="27" t="str">
        <x:v>月</x:v>
      </x:c>
      <x:c r="H771" s="27" t="str">
        <x:v>美元</x:v>
      </x:c>
      <x:c r="I771" s="27" t="str">
        <x:v>当期值</x:v>
      </x:c>
      <x:c r="J771" s="27" t="str">
        <x:v>中国</x:v>
      </x:c>
      <x:c r="K771" s="27" t="str">
        <x:v>中国</x:v>
      </x:c>
      <x:c r="L771" s="28" t="str">
        <x:v>海关总署</x:v>
      </x:c>
      <x:c r="M771" s="28" t="str">
        <x:v>getEcoDataIndMachineryequipment</x:v>
      </x:c>
      <x:c r="N771" s="27" t="str">
        <x:v>2015-01-31</x:v>
      </x:c>
      <x:c r="O771" s="27" t="str">
        <x:v>2026-06-30</x:v>
      </x:c>
      <x:c r="P771" s="27" t="str">
        <x:v>持续更新</x:v>
      </x:c>
      <x:c r="Q771" s="27" t="str"/>
      <x:c r="R771" s="28" t="str"/>
    </x:row>
    <x:row r="772" ht="48" customHeight="1">
      <x:c r="A772" s="27" t="str">
        <x:v>801890</x:v>
      </x:c>
      <x:c r="B772" s="27" t="str">
        <x:v>机械设备</x:v>
      </x:c>
      <x:c r="C772" s="27" t="n">
        <x:v>21</x:v>
      </x:c>
      <x:c r="D772" s="27" t="str">
        <x:v>2087006699</x:v>
      </x:c>
      <x:c r="E772" s="28" t="str">
        <x:v>出口金额(美元):石料、陶瓷等或类似矿物材料的加工机床(8464):当月值</x:v>
      </x:c>
      <x:c r="F772" s="28" t="str">
        <x:v>Export Value (USD): Machine Tools for Processing Stone, Ceramics, Etc. or Similar Mineral Materials(8464): Current Month Value</x:v>
      </x:c>
      <x:c r="G772" s="27" t="str">
        <x:v>月</x:v>
      </x:c>
      <x:c r="H772" s="27" t="str">
        <x:v>美元</x:v>
      </x:c>
      <x:c r="I772" s="27" t="str">
        <x:v>当期值</x:v>
      </x:c>
      <x:c r="J772" s="27" t="str">
        <x:v>中国</x:v>
      </x:c>
      <x:c r="K772" s="27" t="str">
        <x:v>中国</x:v>
      </x:c>
      <x:c r="L772" s="28" t="str">
        <x:v>海关总署</x:v>
      </x:c>
      <x:c r="M772" s="28" t="str">
        <x:v>getEcoDataIndMachineryequipment</x:v>
      </x:c>
      <x:c r="N772" s="27" t="str">
        <x:v>2015-01-31</x:v>
      </x:c>
      <x:c r="O772" s="27" t="str">
        <x:v>2026-06-30</x:v>
      </x:c>
      <x:c r="P772" s="27" t="str">
        <x:v>持续更新</x:v>
      </x:c>
      <x:c r="Q772" s="27" t="str"/>
      <x:c r="R772" s="28" t="str"/>
    </x:row>
    <x:row r="773" ht="48" customHeight="1">
      <x:c r="A773" s="27" t="str">
        <x:v>801890</x:v>
      </x:c>
      <x:c r="B773" s="27" t="str">
        <x:v>机械设备</x:v>
      </x:c>
      <x:c r="C773" s="27" t="n">
        <x:v>22</x:v>
      </x:c>
      <x:c r="D773" s="27" t="str">
        <x:v>2087005999</x:v>
      </x:c>
      <x:c r="E773" s="28" t="str">
        <x:v>出口金额(美元):空气泵或真空泵、空气及其他气体压缩机、风机等(8414):当月值</x:v>
      </x:c>
      <x:c r="F773" s="28" t="str">
        <x:v>Export Value (USD): Air Pump or Vacuum Pump, Air and Other Gas Compressor, Fan, Etc(8414): Current Month Value</x:v>
      </x:c>
      <x:c r="G773" s="27" t="str">
        <x:v>月</x:v>
      </x:c>
      <x:c r="H773" s="27" t="str">
        <x:v>美元</x:v>
      </x:c>
      <x:c r="I773" s="27" t="str">
        <x:v>当期值</x:v>
      </x:c>
      <x:c r="J773" s="27" t="str">
        <x:v>中国</x:v>
      </x:c>
      <x:c r="K773" s="27" t="str">
        <x:v>中国</x:v>
      </x:c>
      <x:c r="L773" s="28" t="str">
        <x:v>海关总署</x:v>
      </x:c>
      <x:c r="M773" s="28" t="str">
        <x:v>getEcoDataIndMachineryequipment</x:v>
      </x:c>
      <x:c r="N773" s="27" t="str">
        <x:v>2015-01-31</x:v>
      </x:c>
      <x:c r="O773" s="27" t="str">
        <x:v>2026-06-30</x:v>
      </x:c>
      <x:c r="P773" s="27" t="str">
        <x:v>持续更新</x:v>
      </x:c>
      <x:c r="Q773" s="27" t="str"/>
      <x:c r="R773" s="28" t="str"/>
    </x:row>
    <x:row r="774" ht="48" customHeight="1">
      <x:c r="A774" s="27" t="str">
        <x:v>801890</x:v>
      </x:c>
      <x:c r="B774" s="27" t="str">
        <x:v>机械设备</x:v>
      </x:c>
      <x:c r="C774" s="27" t="n">
        <x:v>23</x:v>
      </x:c>
      <x:c r="D774" s="27" t="str">
        <x:v>2087006167</x:v>
      </x:c>
      <x:c r="E774" s="28" t="str">
        <x:v>出口金额(美元):船用桅杆式起重机;起重机(8426):当月值</x:v>
      </x:c>
      <x:c r="F774" s="28" t="str">
        <x:v>Export Value (USD): Marine Mast Crane;Crane(8426): Current Month Value</x:v>
      </x:c>
      <x:c r="G774" s="27" t="str">
        <x:v>月</x:v>
      </x:c>
      <x:c r="H774" s="27" t="str">
        <x:v>美元</x:v>
      </x:c>
      <x:c r="I774" s="27" t="str">
        <x:v>当期值</x:v>
      </x:c>
      <x:c r="J774" s="27" t="str">
        <x:v>中国</x:v>
      </x:c>
      <x:c r="K774" s="27" t="str">
        <x:v>中国</x:v>
      </x:c>
      <x:c r="L774" s="28" t="str">
        <x:v>海关总署</x:v>
      </x:c>
      <x:c r="M774" s="28" t="str">
        <x:v>getEcoDataIndMachineryequipment</x:v>
      </x:c>
      <x:c r="N774" s="27" t="str">
        <x:v>2015-01-31</x:v>
      </x:c>
      <x:c r="O774" s="27" t="str">
        <x:v>2026-06-30</x:v>
      </x:c>
      <x:c r="P774" s="27" t="str">
        <x:v>持续更新</x:v>
      </x:c>
      <x:c r="Q774" s="27" t="str"/>
      <x:c r="R774" s="28" t="str"/>
    </x:row>
    <x:row r="775" ht="48" customHeight="1">
      <x:c r="A775" s="27" t="str">
        <x:v>801890</x:v>
      </x:c>
      <x:c r="B775" s="27" t="str">
        <x:v>机械设备</x:v>
      </x:c>
      <x:c r="C775" s="27" t="n">
        <x:v>24</x:v>
      </x:c>
      <x:c r="D775" s="27" t="str">
        <x:v>2087006685</x:v>
      </x:c>
      <x:c r="E775" s="28" t="str">
        <x:v>出口金额(美元):金属或金属陶瓷的其他非切削加工机床(8463):当月值</x:v>
      </x:c>
      <x:c r="F775" s="28" t="str">
        <x:v>Export Value (USD): Other Non Cutting Machine Tools for Metal or Cermet(8463): Current Month Value</x:v>
      </x:c>
      <x:c r="G775" s="27" t="str">
        <x:v>月</x:v>
      </x:c>
      <x:c r="H775" s="27" t="str">
        <x:v>美元</x:v>
      </x:c>
      <x:c r="I775" s="27" t="str">
        <x:v>当期值</x:v>
      </x:c>
      <x:c r="J775" s="27" t="str">
        <x:v>中国</x:v>
      </x:c>
      <x:c r="K775" s="27" t="str">
        <x:v>中国</x:v>
      </x:c>
      <x:c r="L775" s="28" t="str">
        <x:v>海关总署</x:v>
      </x:c>
      <x:c r="M775" s="28" t="str">
        <x:v>getEcoDataIndMachineryequipment</x:v>
      </x:c>
      <x:c r="N775" s="27" t="str">
        <x:v>2015-01-31</x:v>
      </x:c>
      <x:c r="O775" s="27" t="str">
        <x:v>2026-06-30</x:v>
      </x:c>
      <x:c r="P775" s="27" t="str">
        <x:v>持续更新</x:v>
      </x:c>
      <x:c r="Q775" s="27" t="str"/>
      <x:c r="R775" s="28" t="str"/>
    </x:row>
    <x:row r="776" ht="48" customHeight="1">
      <x:c r="A776" s="27" t="str">
        <x:v>801890</x:v>
      </x:c>
      <x:c r="B776" s="27" t="str">
        <x:v>机械设备</x:v>
      </x:c>
      <x:c r="C776" s="27" t="n">
        <x:v>25</x:v>
      </x:c>
      <x:c r="D776" s="27" t="str">
        <x:v>2087006729</x:v>
      </x:c>
      <x:c r="E776" s="28" t="str">
        <x:v>进出口金额(美元):专用于或主要用于加工机床等机器的零件、附件(8466):当月值</x:v>
      </x:c>
      <x:c r="F776" s="28" t="str">
        <x:v>Import and Export Value (USD): Parts and Accessories Specially or Mainly Used for Processing Machines such as Machine Tools(8466): Current Month Value</x:v>
      </x:c>
      <x:c r="G776" s="27" t="str">
        <x:v>月</x:v>
      </x:c>
      <x:c r="H776" s="27" t="str">
        <x:v>美元</x:v>
      </x:c>
      <x:c r="I776" s="27" t="str">
        <x:v>当期值</x:v>
      </x:c>
      <x:c r="J776" s="27" t="str">
        <x:v>中国</x:v>
      </x:c>
      <x:c r="K776" s="27" t="str">
        <x:v>中国</x:v>
      </x:c>
      <x:c r="L776" s="28" t="str">
        <x:v>海关总署</x:v>
      </x:c>
      <x:c r="M776" s="28" t="str">
        <x:v>getEcoDataIndMachineryequipment</x:v>
      </x:c>
      <x:c r="N776" s="27" t="str">
        <x:v>2015-01-31</x:v>
      </x:c>
      <x:c r="O776" s="27" t="str">
        <x:v>2026-06-30</x:v>
      </x:c>
      <x:c r="P776" s="27" t="str">
        <x:v>持续更新</x:v>
      </x:c>
      <x:c r="Q776" s="27" t="str"/>
      <x:c r="R776" s="28" t="str"/>
    </x:row>
    <x:row r="777" ht="48" customHeight="1">
      <x:c r="A777" s="27" t="str">
        <x:v>801890</x:v>
      </x:c>
      <x:c r="B777" s="27" t="str">
        <x:v>机械设备</x:v>
      </x:c>
      <x:c r="C777" s="27" t="n">
        <x:v>26</x:v>
      </x:c>
      <x:c r="D777" s="27" t="str">
        <x:v>2087006953</x:v>
      </x:c>
      <x:c r="E777" s="28" t="str">
        <x:v>进出口金额(美元):传动轴及曲柄;轴承座及滑动轴承(8483):当月值</x:v>
      </x:c>
      <x:c r="F777" s="28" t="str">
        <x:v>Import and Export Value (USD): Transmission Shaft and Crank;Bearing Pedestal and Sliding Bearing(8483): Current Month Value</x:v>
      </x:c>
      <x:c r="G777" s="27" t="str">
        <x:v>月</x:v>
      </x:c>
      <x:c r="H777" s="27" t="str">
        <x:v>美元</x:v>
      </x:c>
      <x:c r="I777" s="27" t="str">
        <x:v>当期值</x:v>
      </x:c>
      <x:c r="J777" s="27" t="str">
        <x:v>中国</x:v>
      </x:c>
      <x:c r="K777" s="27" t="str">
        <x:v>中国</x:v>
      </x:c>
      <x:c r="L777" s="28" t="str">
        <x:v>海关总署</x:v>
      </x:c>
      <x:c r="M777" s="28" t="str">
        <x:v>getEcoDataIndMachineryequipment</x:v>
      </x:c>
      <x:c r="N777" s="27" t="str">
        <x:v>2015-01-31</x:v>
      </x:c>
      <x:c r="O777" s="27" t="str">
        <x:v>2026-06-30</x:v>
      </x:c>
      <x:c r="P777" s="27" t="str">
        <x:v>持续更新</x:v>
      </x:c>
      <x:c r="Q777" s="27" t="str"/>
      <x:c r="R777" s="28" t="str"/>
    </x:row>
    <x:row r="778" ht="48" customHeight="1">
      <x:c r="A778" s="27" t="str">
        <x:v>801890</x:v>
      </x:c>
      <x:c r="B778" s="27" t="str">
        <x:v>机械设备</x:v>
      </x:c>
      <x:c r="C778" s="27" t="n">
        <x:v>27</x:v>
      </x:c>
      <x:c r="D778" s="27" t="str">
        <x:v>2087006659</x:v>
      </x:c>
      <x:c r="E778" s="28" t="str">
        <x:v>进出口金额(美元):切削金属或金属陶瓷的精加工机床(8461):当月值</x:v>
      </x:c>
      <x:c r="F778" s="28" t="str">
        <x:v>Import and Export Value (USD): Finishing Machine Tool for Cutting Metal or Cermet(8461): Current Month Value</x:v>
      </x:c>
      <x:c r="G778" s="27" t="str">
        <x:v>月</x:v>
      </x:c>
      <x:c r="H778" s="27" t="str">
        <x:v>美元</x:v>
      </x:c>
      <x:c r="I778" s="27" t="str">
        <x:v>当期值</x:v>
      </x:c>
      <x:c r="J778" s="27" t="str">
        <x:v>中国</x:v>
      </x:c>
      <x:c r="K778" s="27" t="str">
        <x:v>中国</x:v>
      </x:c>
      <x:c r="L778" s="28" t="str">
        <x:v>海关总署</x:v>
      </x:c>
      <x:c r="M778" s="28" t="str">
        <x:v>getEcoDataIndMachineryequipment</x:v>
      </x:c>
      <x:c r="N778" s="27" t="str">
        <x:v>2015-01-31</x:v>
      </x:c>
      <x:c r="O778" s="27" t="str">
        <x:v>2026-06-30</x:v>
      </x:c>
      <x:c r="P778" s="27" t="str">
        <x:v>持续更新</x:v>
      </x:c>
      <x:c r="Q778" s="27" t="str"/>
      <x:c r="R778" s="28" t="str"/>
    </x:row>
    <x:row r="779" ht="48" customHeight="1">
      <x:c r="A779" s="27" t="str">
        <x:v>801890</x:v>
      </x:c>
      <x:c r="B779" s="27" t="str">
        <x:v>机械设备</x:v>
      </x:c>
      <x:c r="C779" s="27" t="n">
        <x:v>28</x:v>
      </x:c>
      <x:c r="D779" s="27" t="str">
        <x:v>2087006631</x:v>
      </x:c>
      <x:c r="E779" s="28" t="str">
        <x:v>进出口金额(美元):切削金属的钻床、镗床、铣床、攻丝机床(8459):当月值</x:v>
      </x:c>
      <x:c r="F779" s="28" t="str">
        <x:v>Import and Export Value (USD): Drilling Machine, Boring Machine, Milling Machine and Tapping Machine for Cutting Metal(8459): Current Month Value</x:v>
      </x:c>
      <x:c r="G779" s="27" t="str">
        <x:v>月</x:v>
      </x:c>
      <x:c r="H779" s="27" t="str">
        <x:v>美元</x:v>
      </x:c>
      <x:c r="I779" s="27" t="str">
        <x:v>当期值</x:v>
      </x:c>
      <x:c r="J779" s="27" t="str">
        <x:v>中国</x:v>
      </x:c>
      <x:c r="K779" s="27" t="str">
        <x:v>中国</x:v>
      </x:c>
      <x:c r="L779" s="28" t="str">
        <x:v>海关总署</x:v>
      </x:c>
      <x:c r="M779" s="28" t="str">
        <x:v>getEcoDataIndMachineryequipment</x:v>
      </x:c>
      <x:c r="N779" s="27" t="str">
        <x:v>2015-01-31</x:v>
      </x:c>
      <x:c r="O779" s="27" t="str">
        <x:v>2026-06-30</x:v>
      </x:c>
      <x:c r="P779" s="27" t="str">
        <x:v>持续更新</x:v>
      </x:c>
      <x:c r="Q779" s="27" t="str"/>
      <x:c r="R779" s="28" t="str"/>
    </x:row>
    <x:row r="780" ht="48" customHeight="1">
      <x:c r="A780" s="27" t="str">
        <x:v>801890</x:v>
      </x:c>
      <x:c r="B780" s="27" t="str">
        <x:v>机械设备</x:v>
      </x:c>
      <x:c r="C780" s="27" t="n">
        <x:v>29</x:v>
      </x:c>
      <x:c r="D780" s="27" t="str">
        <x:v>2087006603</x:v>
      </x:c>
      <x:c r="E780" s="28" t="str">
        <x:v>进出口金额(美元):加工金属的加工中心、单工位组合机床等(8457):当月值</x:v>
      </x:c>
      <x:c r="F780" s="28" t="str">
        <x:v>Import and Export Value (USD): Metal Processing Center, Single Station Modular Machine Tool, Etc(8457): Current Month Value</x:v>
      </x:c>
      <x:c r="G780" s="27" t="str">
        <x:v>月</x:v>
      </x:c>
      <x:c r="H780" s="27" t="str">
        <x:v>美元</x:v>
      </x:c>
      <x:c r="I780" s="27" t="str">
        <x:v>当期值</x:v>
      </x:c>
      <x:c r="J780" s="27" t="str">
        <x:v>中国</x:v>
      </x:c>
      <x:c r="K780" s="27" t="str">
        <x:v>中国</x:v>
      </x:c>
      <x:c r="L780" s="28" t="str">
        <x:v>海关总署</x:v>
      </x:c>
      <x:c r="M780" s="28" t="str">
        <x:v>getEcoDataIndMachineryequipment</x:v>
      </x:c>
      <x:c r="N780" s="27" t="str">
        <x:v>2015-01-31</x:v>
      </x:c>
      <x:c r="O780" s="27" t="str">
        <x:v>2026-06-30</x:v>
      </x:c>
      <x:c r="P780" s="27" t="str">
        <x:v>持续更新</x:v>
      </x:c>
      <x:c r="Q780" s="27" t="str"/>
      <x:c r="R780" s="28" t="str"/>
    </x:row>
    <x:row r="781" ht="48" customHeight="1">
      <x:c r="A781" s="27" t="str">
        <x:v>801890</x:v>
      </x:c>
      <x:c r="B781" s="27" t="str">
        <x:v>机械设备</x:v>
      </x:c>
      <x:c r="C781" s="27" t="n">
        <x:v>30</x:v>
      </x:c>
      <x:c r="D781" s="27" t="str">
        <x:v>2087006183</x:v>
      </x:c>
      <x:c r="E781" s="28" t="str">
        <x:v>进出口金额(美元):叉车;其他装有升降或搬运装置的工作车(8427):当月值</x:v>
      </x:c>
      <x:c r="F781" s="28" t="str">
        <x:v>Import and Export Value (USD): forklift;Other Work Vehicles Equipped with Lifting or Handling Devices(8427): Current Month Value</x:v>
      </x:c>
      <x:c r="G781" s="27" t="str">
        <x:v>月</x:v>
      </x:c>
      <x:c r="H781" s="27" t="str">
        <x:v>美元</x:v>
      </x:c>
      <x:c r="I781" s="27" t="str">
        <x:v>当期值</x:v>
      </x:c>
      <x:c r="J781" s="27" t="str">
        <x:v>中国</x:v>
      </x:c>
      <x:c r="K781" s="27" t="str">
        <x:v>中国</x:v>
      </x:c>
      <x:c r="L781" s="28" t="str">
        <x:v>海关总署</x:v>
      </x:c>
      <x:c r="M781" s="28" t="str">
        <x:v>getEcoDataIndMachineryequipment</x:v>
      </x:c>
      <x:c r="N781" s="27" t="str">
        <x:v>2015-01-31</x:v>
      </x:c>
      <x:c r="O781" s="27" t="str">
        <x:v>2026-06-30</x:v>
      </x:c>
      <x:c r="P781" s="27" t="str">
        <x:v>持续更新</x:v>
      </x:c>
      <x:c r="Q781" s="27" t="str"/>
      <x:c r="R781" s="28" t="str"/>
    </x:row>
    <x:row r="782" ht="48" customHeight="1">
      <x:c r="A782" s="27" t="str">
        <x:v>801950</x:v>
      </x:c>
      <x:c r="B782" s="27" t="str">
        <x:v>煤炭</x:v>
      </x:c>
      <x:c r="C782" s="27" t="n">
        <x:v>1</x:v>
      </x:c>
      <x:c r="D782" s="27" t="str">
        <x:v>1040015371</x:v>
      </x:c>
      <x:c r="E782" s="28" t="str">
        <x:v>生产资料价格:煤炭:炼焦煤:周环比</x:v>
      </x:c>
      <x:c r="F782" s="28" t="str">
        <x:v>Spot Price: Coal: Coking Coal: WoW</x:v>
      </x:c>
      <x:c r="G782" s="27" t="str">
        <x:v>周</x:v>
      </x:c>
      <x:c r="H782" s="27" t="str">
        <x:v>%</x:v>
      </x:c>
      <x:c r="I782" s="27" t="str">
        <x:v>当期环比</x:v>
      </x:c>
      <x:c r="J782" s="27" t="str">
        <x:v>全国</x:v>
      </x:c>
      <x:c r="K782" s="27" t="str">
        <x:v>中国</x:v>
      </x:c>
      <x:c r="L782" s="28" t="str">
        <x:v>商务部</x:v>
      </x:c>
      <x:c r="M782" s="28" t="str">
        <x:v>getEcoDataChina</x:v>
      </x:c>
      <x:c r="N782" s="27" t="str">
        <x:v>2017-03-19</x:v>
      </x:c>
      <x:c r="O782" s="27" t="str">
        <x:v>2026-08-02</x:v>
      </x:c>
      <x:c r="P782" s="27" t="str">
        <x:v>持续更新</x:v>
      </x:c>
      <x:c r="Q782" s="27" t="str"/>
      <x:c r="R782" s="28" t="str"/>
    </x:row>
    <x:row r="783" ht="48" customHeight="1">
      <x:c r="A783" s="27" t="str">
        <x:v>801950</x:v>
      </x:c>
      <x:c r="B783" s="27" t="str">
        <x:v>煤炭</x:v>
      </x:c>
      <x:c r="C783" s="27" t="n">
        <x:v>2</x:v>
      </x:c>
      <x:c r="D783" s="27" t="str">
        <x:v>2020761919</x:v>
      </x:c>
      <x:c r="E783" s="28" t="str">
        <x:v>库存量:炼焦煤:国内独立焦化厂(230家):合计</x:v>
      </x:c>
      <x:c r="F783" s="28" t="str">
        <x:v>Inventory: Coking Coal: Independent Coking Plants in China (230 Households): Total</x:v>
      </x:c>
      <x:c r="G783" s="27" t="str">
        <x:v>周</x:v>
      </x:c>
      <x:c r="H783" s="27" t="str">
        <x:v>万吨</x:v>
      </x:c>
      <x:c r="I783" s="27" t="str">
        <x:v>当期值</x:v>
      </x:c>
      <x:c r="J783" s="27" t="str">
        <x:v>全国</x:v>
      </x:c>
      <x:c r="K783" s="27" t="str">
        <x:v>中国</x:v>
      </x:c>
      <x:c r="L783" s="28" t="str">
        <x:v>Datayes!</x:v>
      </x:c>
      <x:c r="M783" s="28" t="str">
        <x:v>getEcoDataIndEnergy</x:v>
      </x:c>
      <x:c r="N783" s="27" t="str">
        <x:v>2016-06-24</x:v>
      </x:c>
      <x:c r="O783" s="27" t="str">
        <x:v>2026-08-07</x:v>
      </x:c>
      <x:c r="P783" s="27" t="str">
        <x:v>持续更新</x:v>
      </x:c>
      <x:c r="Q783" s="27" t="str"/>
      <x:c r="R783" s="28" t="str"/>
    </x:row>
    <x:row r="784" ht="48" customHeight="1">
      <x:c r="A784" s="27" t="str">
        <x:v>801950</x:v>
      </x:c>
      <x:c r="B784" s="27" t="str">
        <x:v>煤炭</x:v>
      </x:c>
      <x:c r="C784" s="27" t="n">
        <x:v>3</x:v>
      </x:c>
      <x:c r="D784" s="27" t="str">
        <x:v>1040015372</x:v>
      </x:c>
      <x:c r="E784" s="28" t="str">
        <x:v>生产资料价格:煤炭:动力煤:周环比</x:v>
      </x:c>
      <x:c r="F784" s="28" t="str">
        <x:v>Spot Price: Coal: Thermal Coal: WoW</x:v>
      </x:c>
      <x:c r="G784" s="27" t="str">
        <x:v>周</x:v>
      </x:c>
      <x:c r="H784" s="27" t="str">
        <x:v>%</x:v>
      </x:c>
      <x:c r="I784" s="27" t="str">
        <x:v>当期环比</x:v>
      </x:c>
      <x:c r="J784" s="27" t="str">
        <x:v>全国</x:v>
      </x:c>
      <x:c r="K784" s="27" t="str">
        <x:v>中国</x:v>
      </x:c>
      <x:c r="L784" s="28" t="str">
        <x:v>商务部</x:v>
      </x:c>
      <x:c r="M784" s="28" t="str">
        <x:v>getEcoDataChina</x:v>
      </x:c>
      <x:c r="N784" s="27" t="str">
        <x:v>2017-03-19</x:v>
      </x:c>
      <x:c r="O784" s="27" t="str">
        <x:v>2026-08-02</x:v>
      </x:c>
      <x:c r="P784" s="27" t="str">
        <x:v>持续更新</x:v>
      </x:c>
      <x:c r="Q784" s="27" t="str"/>
      <x:c r="R784" s="28" t="str"/>
    </x:row>
    <x:row r="785" ht="48" customHeight="1">
      <x:c r="A785" s="27" t="str">
        <x:v>801950</x:v>
      </x:c>
      <x:c r="B785" s="27" t="str">
        <x:v>煤炭</x:v>
      </x:c>
      <x:c r="C785" s="27" t="n">
        <x:v>4</x:v>
      </x:c>
      <x:c r="D785" s="27" t="str">
        <x:v>1040015373</x:v>
      </x:c>
      <x:c r="E785" s="28" t="str">
        <x:v>生产资料价格:煤炭:无烟煤:周环比</x:v>
      </x:c>
      <x:c r="F785" s="28" t="str">
        <x:v>Spot Price: Coal: Anthracite: WoW</x:v>
      </x:c>
      <x:c r="G785" s="27" t="str">
        <x:v>周</x:v>
      </x:c>
      <x:c r="H785" s="27" t="str">
        <x:v>%</x:v>
      </x:c>
      <x:c r="I785" s="27" t="str">
        <x:v>当期环比</x:v>
      </x:c>
      <x:c r="J785" s="27" t="str">
        <x:v>全国</x:v>
      </x:c>
      <x:c r="K785" s="27" t="str">
        <x:v>中国</x:v>
      </x:c>
      <x:c r="L785" s="28" t="str">
        <x:v>商务部</x:v>
      </x:c>
      <x:c r="M785" s="28" t="str">
        <x:v>getEcoDataChina</x:v>
      </x:c>
      <x:c r="N785" s="27" t="str">
        <x:v>2017-03-19</x:v>
      </x:c>
      <x:c r="O785" s="27" t="str">
        <x:v>2026-08-02</x:v>
      </x:c>
      <x:c r="P785" s="27" t="str">
        <x:v>持续更新</x:v>
      </x:c>
      <x:c r="Q785" s="27" t="str"/>
      <x:c r="R785" s="28" t="str"/>
    </x:row>
    <x:row r="786" ht="48" customHeight="1">
      <x:c r="A786" s="27" t="str">
        <x:v>801950</x:v>
      </x:c>
      <x:c r="B786" s="27" t="str">
        <x:v>煤炭</x:v>
      </x:c>
      <x:c r="C786" s="27" t="n">
        <x:v>5</x:v>
      </x:c>
      <x:c r="D786" s="27" t="str">
        <x:v>2020100004</x:v>
      </x:c>
      <x:c r="E786" s="28" t="str">
        <x:v>产量:原煤(国有重点煤矿):当月值</x:v>
      </x:c>
      <x:c r="F786" s="28" t="str">
        <x:v>Coal(State-Owned Key Coal Mines): Output</x:v>
      </x:c>
      <x:c r="G786" s="27" t="str">
        <x:v>月</x:v>
      </x:c>
      <x:c r="H786" s="27" t="str">
        <x:v>万吨</x:v>
      </x:c>
      <x:c r="I786" s="27" t="str">
        <x:v>当期值</x:v>
      </x:c>
      <x:c r="J786" s="27" t="str">
        <x:v>全国</x:v>
      </x:c>
      <x:c r="K786" s="27" t="str">
        <x:v>中国</x:v>
      </x:c>
      <x:c r="L786" s="28" t="str">
        <x:v>Datayes!</x:v>
      </x:c>
      <x:c r="M786" s="28" t="str">
        <x:v>getEcoDataIndEnergy</x:v>
      </x:c>
      <x:c r="N786" s="27" t="str">
        <x:v>2009-06-30</x:v>
      </x:c>
      <x:c r="O786" s="27" t="str">
        <x:v>2026-06-30</x:v>
      </x:c>
      <x:c r="P786" s="27" t="str">
        <x:v>持续更新</x:v>
      </x:c>
      <x:c r="Q786" s="27" t="str"/>
      <x:c r="R786" s="28" t="str"/>
    </x:row>
    <x:row r="787" ht="48" customHeight="1">
      <x:c r="A787" s="27" t="str">
        <x:v>801950</x:v>
      </x:c>
      <x:c r="B787" s="27" t="str">
        <x:v>煤炭</x:v>
      </x:c>
      <x:c r="C787" s="27" t="n">
        <x:v>6</x:v>
      </x:c>
      <x:c r="D787" s="27" t="str">
        <x:v>2020100020</x:v>
      </x:c>
      <x:c r="E787" s="28" t="str">
        <x:v>产量:原煤:当月值</x:v>
      </x:c>
      <x:c r="F787" s="28" t="str">
        <x:v>Raw Coal: Output</x:v>
      </x:c>
      <x:c r="G787" s="27" t="str">
        <x:v>月</x:v>
      </x:c>
      <x:c r="H787" s="27" t="str">
        <x:v>万吨</x:v>
      </x:c>
      <x:c r="I787" s="27" t="str">
        <x:v>当期值</x:v>
      </x:c>
      <x:c r="J787" s="27" t="str">
        <x:v>全国</x:v>
      </x:c>
      <x:c r="K787" s="27" t="str">
        <x:v>中国</x:v>
      </x:c>
      <x:c r="L787" s="28" t="str">
        <x:v>国家统计局</x:v>
      </x:c>
      <x:c r="M787" s="28" t="str">
        <x:v>getEcoDataIndEnergy</x:v>
      </x:c>
      <x:c r="N787" s="27" t="str">
        <x:v>1989-01-31</x:v>
      </x:c>
      <x:c r="O787" s="27" t="str">
        <x:v>2026-06-30</x:v>
      </x:c>
      <x:c r="P787" s="27" t="str">
        <x:v>持续更新</x:v>
      </x:c>
      <x:c r="Q787" s="27" t="str"/>
      <x:c r="R787" s="28" t="str"/>
    </x:row>
    <x:row r="788" ht="48" customHeight="1">
      <x:c r="A788" s="27" t="str">
        <x:v>801950</x:v>
      </x:c>
      <x:c r="B788" s="27" t="str">
        <x:v>煤炭</x:v>
      </x:c>
      <x:c r="C788" s="27" t="n">
        <x:v>7</x:v>
      </x:c>
      <x:c r="D788" s="27" t="str">
        <x:v>1020000171</x:v>
      </x:c>
      <x:c r="E788" s="28" t="str">
        <x:v>出口交货值:煤炭开采和洗选业:当月同比</x:v>
      </x:c>
      <x:c r="F788" s="28" t="str">
        <x:v>Export Delivery Value: Coal Mining And Washing Industry: Current YoY (Month)</x:v>
      </x:c>
      <x:c r="G788" s="27" t="str">
        <x:v>月</x:v>
      </x:c>
      <x:c r="H788" s="27" t="str">
        <x:v>%</x:v>
      </x:c>
      <x:c r="I788" s="27" t="str">
        <x:v>当期同比</x:v>
      </x:c>
      <x:c r="J788" s="27" t="str">
        <x:v>全国</x:v>
      </x:c>
      <x:c r="K788" s="27" t="str">
        <x:v>中国</x:v>
      </x:c>
      <x:c r="L788" s="28" t="str">
        <x:v>国家统计局</x:v>
      </x:c>
      <x:c r="M788" s="28" t="str">
        <x:v>getEcoDataChina</x:v>
      </x:c>
      <x:c r="N788" s="27" t="str">
        <x:v>2007-02-28</x:v>
      </x:c>
      <x:c r="O788" s="27" t="str">
        <x:v>2026-06-30</x:v>
      </x:c>
      <x:c r="P788" s="27" t="str">
        <x:v>持续更新</x:v>
      </x:c>
      <x:c r="Q788" s="27" t="str"/>
      <x:c r="R788" s="28" t="str"/>
    </x:row>
    <x:row r="789" ht="48" customHeight="1">
      <x:c r="A789" s="27" t="str">
        <x:v>801950</x:v>
      </x:c>
      <x:c r="B789" s="27" t="str">
        <x:v>煤炭</x:v>
      </x:c>
      <x:c r="C789" s="27" t="n">
        <x:v>8</x:v>
      </x:c>
      <x:c r="D789" s="27" t="str">
        <x:v>1020000130</x:v>
      </x:c>
      <x:c r="E789" s="28" t="str">
        <x:v>出口交货值:煤炭开采和洗选业:当期值</x:v>
      </x:c>
      <x:c r="F789" s="28" t="str">
        <x:v>Export Delivery Value: Coal Mining And Washing Industry: Current Value</x:v>
      </x:c>
      <x:c r="G789" s="27" t="str">
        <x:v>月</x:v>
      </x:c>
      <x:c r="H789" s="27" t="str">
        <x:v>亿元</x:v>
      </x:c>
      <x:c r="I789" s="27" t="str">
        <x:v>当期值</x:v>
      </x:c>
      <x:c r="J789" s="27" t="str">
        <x:v>全国</x:v>
      </x:c>
      <x:c r="K789" s="27" t="str">
        <x:v>中国</x:v>
      </x:c>
      <x:c r="L789" s="28" t="str">
        <x:v>国家统计局</x:v>
      </x:c>
      <x:c r="M789" s="28" t="str">
        <x:v>getEcoDataChina</x:v>
      </x:c>
      <x:c r="N789" s="27" t="str">
        <x:v>2007-02-28</x:v>
      </x:c>
      <x:c r="O789" s="27" t="str">
        <x:v>2026-06-30</x:v>
      </x:c>
      <x:c r="P789" s="27" t="str">
        <x:v>持续更新</x:v>
      </x:c>
      <x:c r="Q789" s="27" t="str"/>
      <x:c r="R789" s="28" t="str"/>
    </x:row>
    <x:row r="790" ht="48" customHeight="1">
      <x:c r="A790" s="27" t="str">
        <x:v>801950</x:v>
      </x:c>
      <x:c r="B790" s="27" t="str">
        <x:v>煤炭</x:v>
      </x:c>
      <x:c r="C790" s="27" t="n">
        <x:v>9</x:v>
      </x:c>
      <x:c r="D790" s="27" t="str">
        <x:v>1020008190</x:v>
      </x:c>
      <x:c r="E790" s="28" t="str">
        <x:v>工业企业:利润总额:煤炭开采和洗选业:累计值</x:v>
      </x:c>
      <x:c r="F790" s="28" t="str">
        <x:v>Total Profit: Coal Mining and Dressing: Cumulative Value</x:v>
      </x:c>
      <x:c r="G790" s="27" t="str">
        <x:v>月</x:v>
      </x:c>
      <x:c r="H790" s="27" t="str">
        <x:v>亿元</x:v>
      </x:c>
      <x:c r="I790" s="27" t="str">
        <x:v>累计值</x:v>
      </x:c>
      <x:c r="J790" s="27" t="str">
        <x:v>全国</x:v>
      </x:c>
      <x:c r="K790" s="27" t="str">
        <x:v>中国</x:v>
      </x:c>
      <x:c r="L790" s="28" t="str">
        <x:v>国家统计局</x:v>
      </x:c>
      <x:c r="M790" s="28" t="str">
        <x:v>getEcoDataChina</x:v>
      </x:c>
      <x:c r="N790" s="27" t="str">
        <x:v>2000-02-29</x:v>
      </x:c>
      <x:c r="O790" s="27" t="str">
        <x:v>2026-06-30</x:v>
      </x:c>
      <x:c r="P790" s="27" t="str">
        <x:v>持续更新</x:v>
      </x:c>
      <x:c r="Q790" s="27" t="str"/>
      <x:c r="R790" s="28" t="str"/>
    </x:row>
    <x:row r="791" ht="48" customHeight="1">
      <x:c r="A791" s="27" t="str">
        <x:v>801950</x:v>
      </x:c>
      <x:c r="B791" s="27" t="str">
        <x:v>煤炭</x:v>
      </x:c>
      <x:c r="C791" s="27" t="n">
        <x:v>10</x:v>
      </x:c>
      <x:c r="D791" s="27" t="str">
        <x:v>1020010169</x:v>
      </x:c>
      <x:c r="E791" s="28" t="str">
        <x:v>工业企业:营业利润:煤炭开采和洗选业:累计值</x:v>
      </x:c>
      <x:c r="F791" s="28" t="str">
        <x:v>Operating Profit: Coal Mining and Dressing: Cumulative Value</x:v>
      </x:c>
      <x:c r="G791" s="27" t="str">
        <x:v>月</x:v>
      </x:c>
      <x:c r="H791" s="27" t="str">
        <x:v>亿元</x:v>
      </x:c>
      <x:c r="I791" s="27" t="str">
        <x:v>累计值</x:v>
      </x:c>
      <x:c r="J791" s="27" t="str">
        <x:v>全国</x:v>
      </x:c>
      <x:c r="K791" s="27" t="str">
        <x:v>中国</x:v>
      </x:c>
      <x:c r="L791" s="28" t="str">
        <x:v>国家统计局</x:v>
      </x:c>
      <x:c r="M791" s="28" t="str">
        <x:v>getEcoDataChina</x:v>
      </x:c>
      <x:c r="N791" s="27" t="str">
        <x:v>2017-02-28</x:v>
      </x:c>
      <x:c r="O791" s="27" t="str">
        <x:v>2026-06-30</x:v>
      </x:c>
      <x:c r="P791" s="27" t="str">
        <x:v>持续更新</x:v>
      </x:c>
      <x:c r="Q791" s="27" t="str"/>
      <x:c r="R791" s="28" t="str"/>
    </x:row>
    <x:row r="792" ht="48" customHeight="1">
      <x:c r="A792" s="27" t="str">
        <x:v>801950</x:v>
      </x:c>
      <x:c r="B792" s="27" t="str">
        <x:v>煤炭</x:v>
      </x:c>
      <x:c r="C792" s="27" t="n">
        <x:v>11</x:v>
      </x:c>
      <x:c r="D792" s="27" t="str">
        <x:v>1020000917</x:v>
      </x:c>
      <x:c r="E792" s="28" t="str">
        <x:v>成本费用利润率:煤炭开采和洗选业</x:v>
      </x:c>
      <x:c r="F792" s="28" t="str">
        <x:v>Profit-To-Cost Ratio: Coal Mining And Washing Industry</x:v>
      </x:c>
      <x:c r="G792" s="27" t="str">
        <x:v>月</x:v>
      </x:c>
      <x:c r="H792" s="27" t="str">
        <x:v>%</x:v>
      </x:c>
      <x:c r="I792" s="27" t="str">
        <x:v>当期值</x:v>
      </x:c>
      <x:c r="J792" s="27" t="str">
        <x:v>全国</x:v>
      </x:c>
      <x:c r="K792" s="27" t="str">
        <x:v>中国</x:v>
      </x:c>
      <x:c r="L792" s="28" t="str">
        <x:v>国家统计局</x:v>
      </x:c>
      <x:c r="M792" s="28" t="str">
        <x:v>getEcoDataChina</x:v>
      </x:c>
      <x:c r="N792" s="27" t="str">
        <x:v>2003-02-28</x:v>
      </x:c>
      <x:c r="O792" s="27" t="str">
        <x:v>2026-06-30</x:v>
      </x:c>
      <x:c r="P792" s="27" t="str">
        <x:v>持续更新</x:v>
      </x:c>
      <x:c r="Q792" s="27" t="str"/>
      <x:c r="R792" s="28" t="str"/>
    </x:row>
    <x:row r="793" ht="48" customHeight="1">
      <x:c r="A793" s="27" t="str">
        <x:v>801950</x:v>
      </x:c>
      <x:c r="B793" s="27" t="str">
        <x:v>煤炭</x:v>
      </x:c>
      <x:c r="C793" s="27" t="n">
        <x:v>12</x:v>
      </x:c>
      <x:c r="D793" s="27" t="str">
        <x:v>1020000837</x:v>
      </x:c>
      <x:c r="E793" s="28" t="str">
        <x:v>税前利润率:煤炭开采和洗选业</x:v>
      </x:c>
      <x:c r="F793" s="28" t="str">
        <x:v>Pre-Tax Profit Margin: Coal Mining And Washing Industry</x:v>
      </x:c>
      <x:c r="G793" s="27" t="str">
        <x:v>月</x:v>
      </x:c>
      <x:c r="H793" s="27" t="str">
        <x:v>%</x:v>
      </x:c>
      <x:c r="I793" s="27" t="str">
        <x:v>当期值</x:v>
      </x:c>
      <x:c r="J793" s="27" t="str">
        <x:v>全国</x:v>
      </x:c>
      <x:c r="K793" s="27" t="str">
        <x:v>中国</x:v>
      </x:c>
      <x:c r="L793" s="28" t="str">
        <x:v>国家统计局</x:v>
      </x:c>
      <x:c r="M793" s="28" t="str">
        <x:v>getEcoDataChina</x:v>
      </x:c>
      <x:c r="N793" s="27" t="str">
        <x:v>2000-02-29</x:v>
      </x:c>
      <x:c r="O793" s="27" t="str">
        <x:v>2026-06-30</x:v>
      </x:c>
      <x:c r="P793" s="27" t="str">
        <x:v>持续更新</x:v>
      </x:c>
      <x:c r="Q793" s="27" t="str"/>
      <x:c r="R793" s="28" t="str"/>
    </x:row>
    <x:row r="794" ht="48" customHeight="1">
      <x:c r="A794" s="27" t="str">
        <x:v>801950</x:v>
      </x:c>
      <x:c r="B794" s="27" t="str">
        <x:v>煤炭</x:v>
      </x:c>
      <x:c r="C794" s="27" t="n">
        <x:v>13</x:v>
      </x:c>
      <x:c r="D794" s="27" t="str">
        <x:v>2020200018</x:v>
      </x:c>
      <x:c r="E794" s="28" t="str">
        <x:v>进口数量:煤及褐煤(煤炭):当月同比</x:v>
      </x:c>
      <x:c r="F794" s="28" t="str">
        <x:v>Coal and Lignite: Imports Quantity: YoY</x:v>
      </x:c>
      <x:c r="G794" s="27" t="str">
        <x:v>月</x:v>
      </x:c>
      <x:c r="H794" s="27" t="str">
        <x:v>%</x:v>
      </x:c>
      <x:c r="I794" s="27" t="str">
        <x:v>当期同比</x:v>
      </x:c>
      <x:c r="J794" s="27" t="str">
        <x:v>全国</x:v>
      </x:c>
      <x:c r="K794" s="27" t="str">
        <x:v>中国</x:v>
      </x:c>
      <x:c r="L794" s="28" t="str">
        <x:v>海关总署</x:v>
      </x:c>
      <x:c r="M794" s="28" t="str">
        <x:v>getEcoDataIndEnergy</x:v>
      </x:c>
      <x:c r="N794" s="27" t="str">
        <x:v>2010-04-30</x:v>
      </x:c>
      <x:c r="O794" s="27" t="str">
        <x:v>2026-06-30</x:v>
      </x:c>
      <x:c r="P794" s="27" t="str">
        <x:v>持续更新</x:v>
      </x:c>
      <x:c r="Q794" s="27" t="str"/>
      <x:c r="R794" s="28" t="str"/>
    </x:row>
    <x:row r="795" ht="48" customHeight="1">
      <x:c r="A795" s="27" t="str">
        <x:v>801950</x:v>
      </x:c>
      <x:c r="B795" s="27" t="str">
        <x:v>煤炭</x:v>
      </x:c>
      <x:c r="C795" s="27" t="n">
        <x:v>14</x:v>
      </x:c>
      <x:c r="D795" s="27" t="str">
        <x:v>2020200014</x:v>
      </x:c>
      <x:c r="E795" s="28" t="str">
        <x:v>进口金额:煤及褐煤(煤炭):当月同比</x:v>
      </x:c>
      <x:c r="F795" s="28" t="str">
        <x:v>Coal and Lignite: Imports Value: YoY</x:v>
      </x:c>
      <x:c r="G795" s="27" t="str">
        <x:v>月</x:v>
      </x:c>
      <x:c r="H795" s="27" t="str">
        <x:v>%</x:v>
      </x:c>
      <x:c r="I795" s="27" t="str">
        <x:v>当期同比</x:v>
      </x:c>
      <x:c r="J795" s="27" t="str">
        <x:v>全国</x:v>
      </x:c>
      <x:c r="K795" s="27" t="str">
        <x:v>中国</x:v>
      </x:c>
      <x:c r="L795" s="28" t="str">
        <x:v>海关总署</x:v>
      </x:c>
      <x:c r="M795" s="28" t="str">
        <x:v>getEcoDataIndEnergy</x:v>
      </x:c>
      <x:c r="N795" s="27" t="str">
        <x:v>2013-01-31</x:v>
      </x:c>
      <x:c r="O795" s="27" t="str">
        <x:v>2026-06-30</x:v>
      </x:c>
      <x:c r="P795" s="27" t="str">
        <x:v>持续更新</x:v>
      </x:c>
      <x:c r="Q795" s="27" t="str"/>
      <x:c r="R795" s="28" t="str"/>
    </x:row>
    <x:row r="796" ht="48" customHeight="1">
      <x:c r="A796" s="27" t="str">
        <x:v>801950</x:v>
      </x:c>
      <x:c r="B796" s="27" t="str">
        <x:v>煤炭</x:v>
      </x:c>
      <x:c r="C796" s="27" t="n">
        <x:v>15</x:v>
      </x:c>
      <x:c r="D796" s="27" t="str">
        <x:v>2020004587</x:v>
      </x:c>
      <x:c r="E796" s="28" t="str">
        <x:v>蒙西煤炭价格指数:焦煤</x:v>
      </x:c>
      <x:c r="F796" s="28" t="str">
        <x:v>West Inner Mongolia Coal Price Index: Coking Coal</x:v>
      </x:c>
      <x:c r="G796" s="27" t="str">
        <x:v>周</x:v>
      </x:c>
      <x:c r="H796" s="27" t="str">
        <x:v>元/吨</x:v>
      </x:c>
      <x:c r="I796" s="27" t="str">
        <x:v>当期值</x:v>
      </x:c>
      <x:c r="J796" s="27" t="str">
        <x:v>蒙西</x:v>
      </x:c>
      <x:c r="K796" s="27" t="str">
        <x:v>中国</x:v>
      </x:c>
      <x:c r="L796" s="28" t="str">
        <x:v>内蒙古煤炭交易中心</x:v>
      </x:c>
      <x:c r="M796" s="28" t="str">
        <x:v>getEcoDataIndEnergy</x:v>
      </x:c>
      <x:c r="N796" s="27" t="str">
        <x:v>2015-07-17</x:v>
      </x:c>
      <x:c r="O796" s="27" t="str">
        <x:v>2026-08-07</x:v>
      </x:c>
      <x:c r="P796" s="27" t="str">
        <x:v>持续更新</x:v>
      </x:c>
      <x:c r="Q796" s="27" t="str"/>
      <x:c r="R796" s="28" t="str"/>
    </x:row>
    <x:row r="797" ht="48" customHeight="1">
      <x:c r="A797" s="27" t="str">
        <x:v>801950</x:v>
      </x:c>
      <x:c r="B797" s="27" t="str">
        <x:v>煤炭</x:v>
      </x:c>
      <x:c r="C797" s="27" t="n">
        <x:v>16</x:v>
      </x:c>
      <x:c r="D797" s="27" t="str">
        <x:v>2020749327</x:v>
      </x:c>
      <x:c r="E797" s="28" t="str">
        <x:v>CCI:动力煤价格指数:5000K</x:v>
      </x:c>
      <x:c r="F797" s="28" t="str">
        <x:v>CCI: Thermal Coal Price Index: 5000K</x:v>
      </x:c>
      <x:c r="G797" s="27" t="str">
        <x:v>日</x:v>
      </x:c>
      <x:c r="H797" s="27" t="str">
        <x:v>元/吨</x:v>
      </x:c>
      <x:c r="I797" s="27" t="str">
        <x:v>当期值</x:v>
      </x:c>
      <x:c r="J797" s="27" t="str"/>
      <x:c r="K797" s="27" t="str">
        <x:v>中国</x:v>
      </x:c>
      <x:c r="L797" s="28" t="str">
        <x:v>动力煤价格</x:v>
      </x:c>
      <x:c r="M797" s="28" t="str">
        <x:v>getEcoDataIndEnergy</x:v>
      </x:c>
      <x:c r="N797" s="27" t="str">
        <x:v>2015-08-11</x:v>
      </x:c>
      <x:c r="O797" s="27" t="str">
        <x:v>2026-08-07</x:v>
      </x:c>
      <x:c r="P797" s="27" t="str">
        <x:v>持续更新</x:v>
      </x:c>
      <x:c r="Q797" s="27" t="str"/>
      <x:c r="R797" s="28" t="str"/>
    </x:row>
    <x:row r="798" ht="48" customHeight="1">
      <x:c r="A798" s="27" t="str">
        <x:v>801950</x:v>
      </x:c>
      <x:c r="B798" s="27" t="str">
        <x:v>煤炭</x:v>
      </x:c>
      <x:c r="C798" s="27" t="n">
        <x:v>17</x:v>
      </x:c>
      <x:c r="D798" s="27" t="str">
        <x:v>1020021161</x:v>
      </x:c>
      <x:c r="E798" s="28" t="str">
        <x:v>利润总额:煤炭开采和洗选业:当季值</x:v>
      </x:c>
      <x:c r="F798" s="28" t="str">
        <x:v>Total Profits: Coal Mining and Dressing: Current Value (Quarter)</x:v>
      </x:c>
      <x:c r="G798" s="27" t="str">
        <x:v>季</x:v>
      </x:c>
      <x:c r="H798" s="27" t="str">
        <x:v>亿元</x:v>
      </x:c>
      <x:c r="I798" s="27" t="str">
        <x:v>当期值</x:v>
      </x:c>
      <x:c r="J798" s="27" t="str">
        <x:v>全国</x:v>
      </x:c>
      <x:c r="K798" s="27" t="str">
        <x:v>中国</x:v>
      </x:c>
      <x:c r="L798" s="28" t="str">
        <x:v>Datayes!</x:v>
      </x:c>
      <x:c r="M798" s="28" t="str">
        <x:v>getEcoDataChina</x:v>
      </x:c>
      <x:c r="N798" s="27" t="str">
        <x:v>2000-03-31</x:v>
      </x:c>
      <x:c r="O798" s="27" t="str">
        <x:v>2026-06-30</x:v>
      </x:c>
      <x:c r="P798" s="27" t="str">
        <x:v>持续更新</x:v>
      </x:c>
      <x:c r="Q798" s="27" t="str"/>
      <x:c r="R798" s="28" t="str"/>
    </x:row>
    <x:row r="799" ht="48" customHeight="1">
      <x:c r="A799" s="27" t="str">
        <x:v>801950</x:v>
      </x:c>
      <x:c r="B799" s="27" t="str">
        <x:v>煤炭</x:v>
      </x:c>
      <x:c r="C799" s="27" t="n">
        <x:v>18</x:v>
      </x:c>
      <x:c r="D799" s="27" t="str">
        <x:v>1020021179</x:v>
      </x:c>
      <x:c r="E799" s="28" t="str">
        <x:v>利润总额:石油、煤炭和其他燃料加工业:当季值</x:v>
      </x:c>
      <x:c r="F799" s="28" t="str">
        <x:v>Total Profits: Petroleum, Coal and Other Fuel Processing Industries: Current Value (Quarter)</x:v>
      </x:c>
      <x:c r="G799" s="27" t="str">
        <x:v>季</x:v>
      </x:c>
      <x:c r="H799" s="27" t="str">
        <x:v>亿元</x:v>
      </x:c>
      <x:c r="I799" s="27" t="str">
        <x:v>当期值</x:v>
      </x:c>
      <x:c r="J799" s="27" t="str">
        <x:v>全国</x:v>
      </x:c>
      <x:c r="K799" s="27" t="str">
        <x:v>中国</x:v>
      </x:c>
      <x:c r="L799" s="28" t="str">
        <x:v>Datayes!</x:v>
      </x:c>
      <x:c r="M799" s="28" t="str">
        <x:v>getEcoDataChina</x:v>
      </x:c>
      <x:c r="N799" s="27" t="str">
        <x:v>2000-03-31</x:v>
      </x:c>
      <x:c r="O799" s="27" t="str">
        <x:v>2026-06-30</x:v>
      </x:c>
      <x:c r="P799" s="27" t="str">
        <x:v>持续更新</x:v>
      </x:c>
      <x:c r="Q799" s="27" t="str"/>
      <x:c r="R799" s="28" t="str"/>
    </x:row>
    <x:row r="800" ht="48" customHeight="1">
      <x:c r="A800" s="27" t="str">
        <x:v>801950</x:v>
      </x:c>
      <x:c r="B800" s="27" t="str">
        <x:v>煤炭</x:v>
      </x:c>
      <x:c r="C800" s="27" t="n">
        <x:v>19</x:v>
      </x:c>
      <x:c r="D800" s="27" t="str">
        <x:v>2020746426</x:v>
      </x:c>
      <x:c r="E800" s="28" t="str">
        <x:v>炼焦煤库存:三港口合计</x:v>
      </x:c>
      <x:c r="F800" s="28" t="str">
        <x:v>Coking coal inventory: total of three ports</x:v>
      </x:c>
      <x:c r="G800" s="27" t="str">
        <x:v>周</x:v>
      </x:c>
      <x:c r="H800" s="27" t="str">
        <x:v>万吨</x:v>
      </x:c>
      <x:c r="I800" s="27" t="str">
        <x:v>当期值</x:v>
      </x:c>
      <x:c r="J800" s="27" t="str"/>
      <x:c r="K800" s="27" t="str">
        <x:v>中国</x:v>
      </x:c>
      <x:c r="L800" s="28" t="str">
        <x:v>Datayes!</x:v>
      </x:c>
      <x:c r="M800" s="28" t="str">
        <x:v>getEcoDataIndEnergy</x:v>
      </x:c>
      <x:c r="N800" s="27" t="str">
        <x:v>2011-07-08</x:v>
      </x:c>
      <x:c r="O800" s="27" t="str">
        <x:v>2026-08-07</x:v>
      </x:c>
      <x:c r="P800" s="27" t="str">
        <x:v>持续更新</x:v>
      </x:c>
      <x:c r="Q800" s="27" t="str"/>
      <x:c r="R800" s="28" t="str"/>
    </x:row>
    <x:row r="801" ht="48" customHeight="1">
      <x:c r="A801" s="27" t="str">
        <x:v>801950</x:v>
      </x:c>
      <x:c r="B801" s="27" t="str">
        <x:v>煤炭</x:v>
      </x:c>
      <x:c r="C801" s="27" t="n">
        <x:v>20</x:v>
      </x:c>
      <x:c r="D801" s="27" t="str">
        <x:v>2020746424</x:v>
      </x:c>
      <x:c r="E801" s="28" t="str">
        <x:v>炼焦煤库存:京唐港</x:v>
      </x:c>
      <x:c r="F801" s="28" t="str">
        <x:v>Coking Coal Inventory: Jingtang Port</x:v>
      </x:c>
      <x:c r="G801" s="27" t="str">
        <x:v>周</x:v>
      </x:c>
      <x:c r="H801" s="27" t="str">
        <x:v>万吨</x:v>
      </x:c>
      <x:c r="I801" s="27" t="str">
        <x:v>当期值</x:v>
      </x:c>
      <x:c r="J801" s="27" t="str">
        <x:v>京唐港</x:v>
      </x:c>
      <x:c r="K801" s="27" t="str">
        <x:v>中国</x:v>
      </x:c>
      <x:c r="L801" s="28" t="str">
        <x:v>Datayes!</x:v>
      </x:c>
      <x:c r="M801" s="28" t="str">
        <x:v>getEcoDataIndEnergy</x:v>
      </x:c>
      <x:c r="N801" s="27" t="str">
        <x:v>2011-07-08</x:v>
      </x:c>
      <x:c r="O801" s="27" t="str">
        <x:v>2026-08-07</x:v>
      </x:c>
      <x:c r="P801" s="27" t="str">
        <x:v>持续更新</x:v>
      </x:c>
      <x:c r="Q801" s="27" t="str"/>
      <x:c r="R801" s="28" t="str"/>
    </x:row>
    <x:row r="802" ht="48" customHeight="1">
      <x:c r="A802" s="27" t="str">
        <x:v>801950</x:v>
      </x:c>
      <x:c r="B802" s="27" t="str">
        <x:v>煤炭</x:v>
      </x:c>
      <x:c r="C802" s="27" t="n">
        <x:v>21</x:v>
      </x:c>
      <x:c r="D802" s="27" t="str">
        <x:v>2020746425</x:v>
      </x:c>
      <x:c r="E802" s="28" t="str">
        <x:v>炼焦煤库存:六港口合计</x:v>
      </x:c>
      <x:c r="F802" s="28" t="str">
        <x:v>Coking coal inventory: total of six ports</x:v>
      </x:c>
      <x:c r="G802" s="27" t="str">
        <x:v>周</x:v>
      </x:c>
      <x:c r="H802" s="27" t="str">
        <x:v>万吨</x:v>
      </x:c>
      <x:c r="I802" s="27" t="str">
        <x:v>当期值</x:v>
      </x:c>
      <x:c r="J802" s="27" t="str"/>
      <x:c r="K802" s="27" t="str">
        <x:v>中国</x:v>
      </x:c>
      <x:c r="L802" s="28" t="str">
        <x:v>Datayes!</x:v>
      </x:c>
      <x:c r="M802" s="28" t="str">
        <x:v>getEcoDataIndEnergy</x:v>
      </x:c>
      <x:c r="N802" s="27" t="str">
        <x:v>2013-11-22</x:v>
      </x:c>
      <x:c r="O802" s="27" t="str">
        <x:v>2026-08-07</x:v>
      </x:c>
      <x:c r="P802" s="27" t="str">
        <x:v>持续更新</x:v>
      </x:c>
      <x:c r="Q802" s="27" t="str"/>
      <x:c r="R802" s="28" t="str"/>
    </x:row>
    <x:row r="803" ht="48" customHeight="1">
      <x:c r="A803" s="27" t="str">
        <x:v>801950</x:v>
      </x:c>
      <x:c r="B803" s="27" t="str">
        <x:v>煤炭</x:v>
      </x:c>
      <x:c r="C803" s="27" t="n">
        <x:v>22</x:v>
      </x:c>
      <x:c r="D803" s="27" t="str">
        <x:v>2020746422</x:v>
      </x:c>
      <x:c r="E803" s="28" t="str">
        <x:v>炼焦煤库存:日照港</x:v>
      </x:c>
      <x:c r="F803" s="28" t="str">
        <x:v>Coking Coal Inventory: Rizhao Port</x:v>
      </x:c>
      <x:c r="G803" s="27" t="str">
        <x:v>周</x:v>
      </x:c>
      <x:c r="H803" s="27" t="str">
        <x:v>万吨</x:v>
      </x:c>
      <x:c r="I803" s="27" t="str">
        <x:v>当期值</x:v>
      </x:c>
      <x:c r="J803" s="27" t="str">
        <x:v>日照港</x:v>
      </x:c>
      <x:c r="K803" s="27" t="str">
        <x:v>中国</x:v>
      </x:c>
      <x:c r="L803" s="28" t="str">
        <x:v>Datayes!</x:v>
      </x:c>
      <x:c r="M803" s="28" t="str">
        <x:v>getEcoDataIndEnergy</x:v>
      </x:c>
      <x:c r="N803" s="27" t="str">
        <x:v>2011-07-08</x:v>
      </x:c>
      <x:c r="O803" s="27" t="str">
        <x:v>2026-08-07</x:v>
      </x:c>
      <x:c r="P803" s="27" t="str">
        <x:v>持续更新</x:v>
      </x:c>
      <x:c r="Q803" s="27" t="str"/>
      <x:c r="R803" s="28" t="str"/>
    </x:row>
    <x:row r="804" ht="48" customHeight="1">
      <x:c r="A804" s="27" t="str">
        <x:v>801950</x:v>
      </x:c>
      <x:c r="B804" s="27" t="str">
        <x:v>煤炭</x:v>
      </x:c>
      <x:c r="C804" s="27" t="n">
        <x:v>23</x:v>
      </x:c>
      <x:c r="D804" s="27" t="str">
        <x:v>2020746421</x:v>
      </x:c>
      <x:c r="E804" s="28" t="str">
        <x:v>炼焦煤库存:连云港</x:v>
      </x:c>
      <x:c r="F804" s="28" t="str">
        <x:v>Coking Coal Inventory: Lianyungang</x:v>
      </x:c>
      <x:c r="G804" s="27" t="str">
        <x:v>周</x:v>
      </x:c>
      <x:c r="H804" s="27" t="str">
        <x:v>万吨</x:v>
      </x:c>
      <x:c r="I804" s="27" t="str">
        <x:v>当期值</x:v>
      </x:c>
      <x:c r="J804" s="27" t="str">
        <x:v>连云港</x:v>
      </x:c>
      <x:c r="K804" s="27" t="str">
        <x:v>中国</x:v>
      </x:c>
      <x:c r="L804" s="28" t="str">
        <x:v>Datayes!</x:v>
      </x:c>
      <x:c r="M804" s="28" t="str">
        <x:v>getEcoDataIndEnergy</x:v>
      </x:c>
      <x:c r="N804" s="27" t="str">
        <x:v>2011-07-08</x:v>
      </x:c>
      <x:c r="O804" s="27" t="str">
        <x:v>2026-08-07</x:v>
      </x:c>
      <x:c r="P804" s="27" t="str">
        <x:v>持续更新</x:v>
      </x:c>
      <x:c r="Q804" s="27" t="str"/>
      <x:c r="R804" s="28" t="str"/>
    </x:row>
    <x:row r="805" ht="48" customHeight="1">
      <x:c r="A805" s="27" t="str">
        <x:v>801950</x:v>
      </x:c>
      <x:c r="B805" s="27" t="str">
        <x:v>煤炭</x:v>
      </x:c>
      <x:c r="C805" s="27" t="n">
        <x:v>24</x:v>
      </x:c>
      <x:c r="D805" s="27" t="str">
        <x:v>2020657632</x:v>
      </x:c>
      <x:c r="E805" s="28" t="str">
        <x:v>现货交易平仓价:CCTD秦皇岛动力煤(Q4500)</x:v>
      </x:c>
      <x:c r="F805" s="28" t="str">
        <x:v>Exit Price(Spot): CCTD Steam Coal in Qinhuangdao (Q4500)</x:v>
      </x:c>
      <x:c r="G805" s="27" t="str">
        <x:v>周</x:v>
      </x:c>
      <x:c r="H805" s="27" t="str">
        <x:v>元/吨</x:v>
      </x:c>
      <x:c r="I805" s="27" t="str">
        <x:v>当期值</x:v>
      </x:c>
      <x:c r="J805" s="27" t="str">
        <x:v>全国</x:v>
      </x:c>
      <x:c r="K805" s="27" t="str">
        <x:v>中国</x:v>
      </x:c>
      <x:c r="L805" s="28" t="str">
        <x:v>Datayes!</x:v>
      </x:c>
      <x:c r="M805" s="28" t="str">
        <x:v>getEcoDataIndEnergy</x:v>
      </x:c>
      <x:c r="N805" s="27" t="str">
        <x:v>2018-03-26</x:v>
      </x:c>
      <x:c r="O805" s="27" t="str">
        <x:v>2026-08-07</x:v>
      </x:c>
      <x:c r="P805" s="27" t="str">
        <x:v>持续更新</x:v>
      </x:c>
      <x:c r="Q805" s="27" t="str"/>
      <x:c r="R805" s="28" t="str"/>
    </x:row>
    <x:row r="806" ht="48" customHeight="1">
      <x:c r="A806" s="27" t="str">
        <x:v>801950</x:v>
      </x:c>
      <x:c r="B806" s="27" t="str">
        <x:v>煤炭</x:v>
      </x:c>
      <x:c r="C806" s="27" t="n">
        <x:v>25</x:v>
      </x:c>
      <x:c r="D806" s="27" t="str">
        <x:v>2020657631</x:v>
      </x:c>
      <x:c r="E806" s="28" t="str">
        <x:v>现货交易平仓价:CCTD秦皇岛动力煤(Q5000)</x:v>
      </x:c>
      <x:c r="F806" s="28" t="str">
        <x:v>Exit Price(Spot): CCTD Steam Coal in Qinhuangdao (Q5000)</x:v>
      </x:c>
      <x:c r="G806" s="27" t="str">
        <x:v>周</x:v>
      </x:c>
      <x:c r="H806" s="27" t="str">
        <x:v>元/吨</x:v>
      </x:c>
      <x:c r="I806" s="27" t="str">
        <x:v>当期值</x:v>
      </x:c>
      <x:c r="J806" s="27" t="str">
        <x:v>全国</x:v>
      </x:c>
      <x:c r="K806" s="27" t="str">
        <x:v>中国</x:v>
      </x:c>
      <x:c r="L806" s="28" t="str">
        <x:v>Datayes!</x:v>
      </x:c>
      <x:c r="M806" s="28" t="str">
        <x:v>getEcoDataIndEnergy</x:v>
      </x:c>
      <x:c r="N806" s="27" t="str">
        <x:v>2018-03-26</x:v>
      </x:c>
      <x:c r="O806" s="27" t="str">
        <x:v>2026-08-07</x:v>
      </x:c>
      <x:c r="P806" s="27" t="str">
        <x:v>持续更新</x:v>
      </x:c>
      <x:c r="Q806" s="27" t="str"/>
      <x:c r="R806" s="28" t="str"/>
    </x:row>
    <x:row r="807" ht="48" customHeight="1">
      <x:c r="A807" s="27" t="str">
        <x:v>801950</x:v>
      </x:c>
      <x:c r="B807" s="27" t="str">
        <x:v>煤炭</x:v>
      </x:c>
      <x:c r="C807" s="27" t="n">
        <x:v>26</x:v>
      </x:c>
      <x:c r="D807" s="27" t="str">
        <x:v>2020657627</x:v>
      </x:c>
      <x:c r="E807" s="28" t="str">
        <x:v>综合交易价:CCTD秦皇岛动力煤(Q4500)</x:v>
      </x:c>
      <x:c r="F807" s="28" t="str">
        <x:v>Comprehensive Transaction Price: CCTD Steam Coal in Qinhuangdao (Q4500)</x:v>
      </x:c>
      <x:c r="G807" s="27" t="str">
        <x:v>周</x:v>
      </x:c>
      <x:c r="H807" s="27" t="str">
        <x:v>元/吨</x:v>
      </x:c>
      <x:c r="I807" s="27" t="str">
        <x:v>当期值</x:v>
      </x:c>
      <x:c r="J807" s="27" t="str">
        <x:v>全国</x:v>
      </x:c>
      <x:c r="K807" s="27" t="str">
        <x:v>中国</x:v>
      </x:c>
      <x:c r="L807" s="28" t="str">
        <x:v>Datayes!</x:v>
      </x:c>
      <x:c r="M807" s="28" t="str">
        <x:v>getEcoDataIndEnergy</x:v>
      </x:c>
      <x:c r="N807" s="27" t="str">
        <x:v>2006-01-09</x:v>
      </x:c>
      <x:c r="O807" s="27" t="str">
        <x:v>2026-08-07</x:v>
      </x:c>
      <x:c r="P807" s="27" t="str">
        <x:v>持续更新</x:v>
      </x:c>
      <x:c r="Q807" s="27" t="str"/>
      <x:c r="R807" s="28" t="str"/>
    </x:row>
    <x:row r="808" ht="48" customHeight="1">
      <x:c r="A808" s="27" t="str">
        <x:v>801950</x:v>
      </x:c>
      <x:c r="B808" s="27" t="str">
        <x:v>煤炭</x:v>
      </x:c>
      <x:c r="C808" s="27" t="n">
        <x:v>27</x:v>
      </x:c>
      <x:c r="D808" s="27" t="str">
        <x:v>2020657628</x:v>
      </x:c>
      <x:c r="E808" s="28" t="str">
        <x:v>综合交易价:CCTD秦皇岛动力煤(Q5000)</x:v>
      </x:c>
      <x:c r="F808" s="28" t="str">
        <x:v>Comprehensive Transaction Price: CCTD Steam Coal in Qinhuangdao (Q5000)</x:v>
      </x:c>
      <x:c r="G808" s="27" t="str">
        <x:v>周</x:v>
      </x:c>
      <x:c r="H808" s="27" t="str">
        <x:v>元/吨</x:v>
      </x:c>
      <x:c r="I808" s="27" t="str">
        <x:v>当期值</x:v>
      </x:c>
      <x:c r="J808" s="27" t="str">
        <x:v>全国</x:v>
      </x:c>
      <x:c r="K808" s="27" t="str">
        <x:v>中国</x:v>
      </x:c>
      <x:c r="L808" s="28" t="str">
        <x:v>Datayes!</x:v>
      </x:c>
      <x:c r="M808" s="28" t="str">
        <x:v>getEcoDataIndEnergy</x:v>
      </x:c>
      <x:c r="N808" s="27" t="str">
        <x:v>2006-01-09</x:v>
      </x:c>
      <x:c r="O808" s="27" t="str">
        <x:v>2026-08-07</x:v>
      </x:c>
      <x:c r="P808" s="27" t="str">
        <x:v>持续更新</x:v>
      </x:c>
      <x:c r="Q808" s="27" t="str"/>
      <x:c r="R808" s="28" t="str"/>
    </x:row>
    <x:row r="809" ht="48" customHeight="1">
      <x:c r="A809" s="27" t="str">
        <x:v>801950</x:v>
      </x:c>
      <x:c r="B809" s="27" t="str">
        <x:v>煤炭</x:v>
      </x:c>
      <x:c r="C809" s="27" t="n">
        <x:v>28</x:v>
      </x:c>
      <x:c r="D809" s="27" t="str">
        <x:v>2020657629</x:v>
      </x:c>
      <x:c r="E809" s="28" t="str">
        <x:v>综合交易价:CCTD秦皇岛动力煤(Q5500)</x:v>
      </x:c>
      <x:c r="F809" s="28" t="str">
        <x:v>Comprehensive Transaction Price: CCTD Steam Coal in Qinhuangdao (Q5500)</x:v>
      </x:c>
      <x:c r="G809" s="27" t="str">
        <x:v>周</x:v>
      </x:c>
      <x:c r="H809" s="27" t="str">
        <x:v>元/吨</x:v>
      </x:c>
      <x:c r="I809" s="27" t="str">
        <x:v>当期值</x:v>
      </x:c>
      <x:c r="J809" s="27" t="str">
        <x:v>全国</x:v>
      </x:c>
      <x:c r="K809" s="27" t="str">
        <x:v>中国</x:v>
      </x:c>
      <x:c r="L809" s="28" t="str">
        <x:v>Datayes!</x:v>
      </x:c>
      <x:c r="M809" s="28" t="str">
        <x:v>getEcoDataIndEnergy</x:v>
      </x:c>
      <x:c r="N809" s="27" t="str">
        <x:v>1994-07-04</x:v>
      </x:c>
      <x:c r="O809" s="27" t="str">
        <x:v>2026-08-07</x:v>
      </x:c>
      <x:c r="P809" s="27" t="str">
        <x:v>持续更新</x:v>
      </x:c>
      <x:c r="Q809" s="27" t="str"/>
      <x:c r="R809" s="28" t="str"/>
    </x:row>
    <x:row r="810" ht="48" customHeight="1">
      <x:c r="A810" s="27" t="str">
        <x:v>801950</x:v>
      </x:c>
      <x:c r="B810" s="27" t="str">
        <x:v>煤炭</x:v>
      </x:c>
      <x:c r="C810" s="27" t="n">
        <x:v>29</x:v>
      </x:c>
      <x:c r="D810" s="27" t="str">
        <x:v>2020004552</x:v>
      </x:c>
      <x:c r="E810" s="28" t="str">
        <x:v>蒙东煤炭价格指数:褐煤</x:v>
      </x:c>
      <x:c r="F810" s="28" t="str">
        <x:v>East Inner Mongolia Coal Price Index: Brown Coal</x:v>
      </x:c>
      <x:c r="G810" s="27" t="str">
        <x:v>周</x:v>
      </x:c>
      <x:c r="H810" s="27" t="str">
        <x:v>元/吨</x:v>
      </x:c>
      <x:c r="I810" s="27" t="str">
        <x:v>当期值</x:v>
      </x:c>
      <x:c r="J810" s="27" t="str">
        <x:v>蒙东</x:v>
      </x:c>
      <x:c r="K810" s="27" t="str">
        <x:v>中国</x:v>
      </x:c>
      <x:c r="L810" s="28" t="str">
        <x:v>内蒙古煤炭交易中心</x:v>
      </x:c>
      <x:c r="M810" s="28" t="str">
        <x:v>getEcoDataIndEnergy</x:v>
      </x:c>
      <x:c r="N810" s="27" t="str">
        <x:v>2015-07-17</x:v>
      </x:c>
      <x:c r="O810" s="27" t="str">
        <x:v>2026-08-07</x:v>
      </x:c>
      <x:c r="P810" s="27" t="str">
        <x:v>持续更新</x:v>
      </x:c>
      <x:c r="Q810" s="27" t="str"/>
      <x:c r="R810" s="28" t="str"/>
    </x:row>
    <x:row r="811" ht="48" customHeight="1">
      <x:c r="A811" s="27" t="str">
        <x:v>801950</x:v>
      </x:c>
      <x:c r="B811" s="27" t="str">
        <x:v>煤炭</x:v>
      </x:c>
      <x:c r="C811" s="27" t="n">
        <x:v>30</x:v>
      </x:c>
      <x:c r="D811" s="27" t="str">
        <x:v>2020004566</x:v>
      </x:c>
      <x:c r="E811" s="28" t="str">
        <x:v>蒙东煤炭价格指数:褐煤(Q3200):车板价:同比:呼伦贝尔</x:v>
      </x:c>
      <x:c r="F811" s="28" t="str">
        <x:v>East Inner Mongolia Coal Price Index: Brown Coal (Q3200): Free on Truck Price: YoY: Hulunbeir</x:v>
      </x:c>
      <x:c r="G811" s="27" t="str">
        <x:v>周</x:v>
      </x:c>
      <x:c r="H811" s="27" t="str">
        <x:v>%</x:v>
      </x:c>
      <x:c r="I811" s="27" t="str">
        <x:v>当期同比</x:v>
      </x:c>
      <x:c r="J811" s="27" t="str">
        <x:v>呼伦贝尔市</x:v>
      </x:c>
      <x:c r="K811" s="27" t="str">
        <x:v>中国</x:v>
      </x:c>
      <x:c r="L811" s="28" t="str">
        <x:v>内蒙古煤炭交易中心</x:v>
      </x:c>
      <x:c r="M811" s="28" t="str">
        <x:v>getEcoDataIndEnergy</x:v>
      </x:c>
      <x:c r="N811" s="27" t="str">
        <x:v>2016-07-15</x:v>
      </x:c>
      <x:c r="O811" s="27" t="str">
        <x:v>2026-08-07</x:v>
      </x:c>
      <x:c r="P811" s="27" t="str">
        <x:v>持续更新</x:v>
      </x:c>
      <x:c r="Q811" s="27" t="str"/>
      <x:c r="R811" s="28" t="str"/>
    </x:row>
    <x:row r="812" ht="48" customHeight="1">
      <x:c r="A812" s="27" t="str">
        <x:v>801960</x:v>
      </x:c>
      <x:c r="B812" s="27" t="str">
        <x:v>石油石化</x:v>
      </x:c>
      <x:c r="C812" s="27" t="n">
        <x:v>1</x:v>
      </x:c>
      <x:c r="D812" s="27" t="str">
        <x:v>2030019741</x:v>
      </x:c>
      <x:c r="E812" s="28" t="str">
        <x:v>中国塑料城价格指数:丙烯腈-丁二烯-苯乙烯共聚物(ABS)</x:v>
      </x:c>
      <x:c r="F812" s="28" t="str">
        <x:v>China Plastics City Price Index: Acrylonitrile-Butadiene-Styrene Copolymer (ABS)</x:v>
      </x:c>
      <x:c r="G812" s="27" t="str">
        <x:v>日</x:v>
      </x:c>
      <x:c r="H812" s="27" t="str">
        <x:v>点</x:v>
      </x:c>
      <x:c r="I812" s="27" t="str">
        <x:v>当期值</x:v>
      </x:c>
      <x:c r="J812" s="27" t="str">
        <x:v>全国</x:v>
      </x:c>
      <x:c r="K812" s="27" t="str">
        <x:v>中国</x:v>
      </x:c>
      <x:c r="L812" s="28" t="str">
        <x:v>中塑在线</x:v>
      </x:c>
      <x:c r="M812" s="28" t="str">
        <x:v>getEcoDataIndChemical</x:v>
      </x:c>
      <x:c r="N812" s="27" t="str">
        <x:v>2010-01-04</x:v>
      </x:c>
      <x:c r="O812" s="27" t="str">
        <x:v>2026-08-07</x:v>
      </x:c>
      <x:c r="P812" s="27" t="str">
        <x:v>持续更新</x:v>
      </x:c>
      <x:c r="Q812" s="27" t="str"/>
      <x:c r="R812" s="28" t="str"/>
    </x:row>
    <x:row r="813" ht="48" customHeight="1">
      <x:c r="A813" s="27" t="str">
        <x:v>801960</x:v>
      </x:c>
      <x:c r="B813" s="27" t="str">
        <x:v>石油石化</x:v>
      </x:c>
      <x:c r="C813" s="27" t="n">
        <x:v>2</x:v>
      </x:c>
      <x:c r="D813" s="27" t="str">
        <x:v>2030019742</x:v>
      </x:c>
      <x:c r="E813" s="28" t="str">
        <x:v>中国塑料城价格指数:聚乙烯(PE)</x:v>
      </x:c>
      <x:c r="F813" s="28" t="str">
        <x:v>China Plastics City Price Index: Polyethylene (PE)</x:v>
      </x:c>
      <x:c r="G813" s="27" t="str">
        <x:v>日</x:v>
      </x:c>
      <x:c r="H813" s="27" t="str">
        <x:v>点</x:v>
      </x:c>
      <x:c r="I813" s="27" t="str">
        <x:v>当期值</x:v>
      </x:c>
      <x:c r="J813" s="27" t="str">
        <x:v>全国</x:v>
      </x:c>
      <x:c r="K813" s="27" t="str">
        <x:v>中国</x:v>
      </x:c>
      <x:c r="L813" s="28" t="str">
        <x:v>中塑在线</x:v>
      </x:c>
      <x:c r="M813" s="28" t="str">
        <x:v>getEcoDataIndChemical</x:v>
      </x:c>
      <x:c r="N813" s="27" t="str">
        <x:v>2010-01-04</x:v>
      </x:c>
      <x:c r="O813" s="27" t="str">
        <x:v>2026-08-07</x:v>
      </x:c>
      <x:c r="P813" s="27" t="str">
        <x:v>持续更新</x:v>
      </x:c>
      <x:c r="Q813" s="27" t="str"/>
      <x:c r="R813" s="28" t="str"/>
    </x:row>
    <x:row r="814" ht="48" customHeight="1">
      <x:c r="A814" s="27" t="str">
        <x:v>801960</x:v>
      </x:c>
      <x:c r="B814" s="27" t="str">
        <x:v>石油石化</x:v>
      </x:c>
      <x:c r="C814" s="27" t="n">
        <x:v>3</x:v>
      </x:c>
      <x:c r="D814" s="27" t="str">
        <x:v>1040024023</x:v>
      </x:c>
      <x:c r="E814" s="28" t="str">
        <x:v>生产资料价格:成品油:0号柴油:周环比</x:v>
      </x:c>
      <x:c r="F814" s="28" t="str"/>
      <x:c r="G814" s="27" t="str">
        <x:v>周</x:v>
      </x:c>
      <x:c r="H814" s="27" t="str">
        <x:v>%</x:v>
      </x:c>
      <x:c r="I814" s="27" t="str">
        <x:v>当期环比</x:v>
      </x:c>
      <x:c r="J814" s="27" t="str">
        <x:v>全国</x:v>
      </x:c>
      <x:c r="K814" s="27" t="str">
        <x:v>中国</x:v>
      </x:c>
      <x:c r="L814" s="28" t="str">
        <x:v>商务部</x:v>
      </x:c>
      <x:c r="M814" s="28" t="str">
        <x:v>getEcoDataChina</x:v>
      </x:c>
      <x:c r="N814" s="27" t="str">
        <x:v>2016-01-01</x:v>
      </x:c>
      <x:c r="O814" s="27" t="str">
        <x:v>2026-07-31</x:v>
      </x:c>
      <x:c r="P814" s="27" t="str">
        <x:v>持续更新</x:v>
      </x:c>
      <x:c r="Q814" s="27" t="str"/>
      <x:c r="R814" s="28" t="str"/>
    </x:row>
    <x:row r="815" ht="48" customHeight="1">
      <x:c r="A815" s="27" t="str">
        <x:v>801960</x:v>
      </x:c>
      <x:c r="B815" s="27" t="str">
        <x:v>石油石化</x:v>
      </x:c>
      <x:c r="C815" s="27" t="n">
        <x:v>4</x:v>
      </x:c>
      <x:c r="D815" s="27" t="str">
        <x:v>1040024022</x:v>
      </x:c>
      <x:c r="E815" s="28" t="str">
        <x:v>生产资料价格:成品油:92号汽油:周环比</x:v>
      </x:c>
      <x:c r="F815" s="28" t="str"/>
      <x:c r="G815" s="27" t="str">
        <x:v>周</x:v>
      </x:c>
      <x:c r="H815" s="27" t="str">
        <x:v>%</x:v>
      </x:c>
      <x:c r="I815" s="27" t="str">
        <x:v>当期环比</x:v>
      </x:c>
      <x:c r="J815" s="27" t="str">
        <x:v>全国</x:v>
      </x:c>
      <x:c r="K815" s="27" t="str">
        <x:v>中国</x:v>
      </x:c>
      <x:c r="L815" s="28" t="str">
        <x:v>商务部</x:v>
      </x:c>
      <x:c r="M815" s="28" t="str">
        <x:v>getEcoDataChina</x:v>
      </x:c>
      <x:c r="N815" s="27" t="str">
        <x:v>2016-01-01</x:v>
      </x:c>
      <x:c r="O815" s="27" t="str">
        <x:v>2026-07-31</x:v>
      </x:c>
      <x:c r="P815" s="27" t="str">
        <x:v>持续更新</x:v>
      </x:c>
      <x:c r="Q815" s="27" t="str"/>
      <x:c r="R815" s="28" t="str"/>
    </x:row>
    <x:row r="816" ht="48" customHeight="1">
      <x:c r="A816" s="27" t="str">
        <x:v>801960</x:v>
      </x:c>
      <x:c r="B816" s="27" t="str">
        <x:v>石油石化</x:v>
      </x:c>
      <x:c r="C816" s="27" t="n">
        <x:v>5</x:v>
      </x:c>
      <x:c r="D816" s="27" t="str">
        <x:v>1040024021</x:v>
      </x:c>
      <x:c r="E816" s="28" t="str">
        <x:v>生产资料价格:成品油:95号汽油:周环比</x:v>
      </x:c>
      <x:c r="F816" s="28" t="str"/>
      <x:c r="G816" s="27" t="str">
        <x:v>周</x:v>
      </x:c>
      <x:c r="H816" s="27" t="str">
        <x:v>%</x:v>
      </x:c>
      <x:c r="I816" s="27" t="str">
        <x:v>当期环比</x:v>
      </x:c>
      <x:c r="J816" s="27" t="str">
        <x:v>全国</x:v>
      </x:c>
      <x:c r="K816" s="27" t="str">
        <x:v>中国</x:v>
      </x:c>
      <x:c r="L816" s="28" t="str">
        <x:v>商务部</x:v>
      </x:c>
      <x:c r="M816" s="28" t="str">
        <x:v>getEcoDataChina</x:v>
      </x:c>
      <x:c r="N816" s="27" t="str">
        <x:v>2016-01-01</x:v>
      </x:c>
      <x:c r="O816" s="27" t="str">
        <x:v>2026-07-31</x:v>
      </x:c>
      <x:c r="P816" s="27" t="str">
        <x:v>持续更新</x:v>
      </x:c>
      <x:c r="Q816" s="27" t="str"/>
      <x:c r="R816" s="28" t="str"/>
    </x:row>
    <x:row r="817" ht="48" customHeight="1">
      <x:c r="A817" s="27" t="str">
        <x:v>801960</x:v>
      </x:c>
      <x:c r="B817" s="27" t="str">
        <x:v>石油石化</x:v>
      </x:c>
      <x:c r="C817" s="27" t="n">
        <x:v>6</x:v>
      </x:c>
      <x:c r="D817" s="27" t="str">
        <x:v>1040002009</x:v>
      </x:c>
      <x:c r="E817" s="28" t="str">
        <x:v>国内期货价格:燃料油</x:v>
      </x:c>
      <x:c r="F817" s="28" t="str">
        <x:v>Domestic Futures Prices: Fuel Oil</x:v>
      </x:c>
      <x:c r="G817" s="27" t="str">
        <x:v>周</x:v>
      </x:c>
      <x:c r="H817" s="27" t="str">
        <x:v>元/吨</x:v>
      </x:c>
      <x:c r="I817" s="27" t="str">
        <x:v>当期值</x:v>
      </x:c>
      <x:c r="J817" s="27" t="str">
        <x:v>全国</x:v>
      </x:c>
      <x:c r="K817" s="27" t="str">
        <x:v>中国</x:v>
      </x:c>
      <x:c r="L817" s="28" t="str">
        <x:v>商务部</x:v>
      </x:c>
      <x:c r="M817" s="28" t="str">
        <x:v>getEcoDataChina</x:v>
      </x:c>
      <x:c r="N817" s="27" t="str">
        <x:v>2005-01-07</x:v>
      </x:c>
      <x:c r="O817" s="27" t="str">
        <x:v>2026-07-31</x:v>
      </x:c>
      <x:c r="P817" s="27" t="str">
        <x:v>持续更新</x:v>
      </x:c>
      <x:c r="Q817" s="27" t="str"/>
      <x:c r="R817" s="28" t="str"/>
    </x:row>
    <x:row r="818" ht="48" customHeight="1">
      <x:c r="A818" s="27" t="str">
        <x:v>801960</x:v>
      </x:c>
      <x:c r="B818" s="27" t="str">
        <x:v>石油石化</x:v>
      </x:c>
      <x:c r="C818" s="27" t="n">
        <x:v>7</x:v>
      </x:c>
      <x:c r="D818" s="27" t="str">
        <x:v>1040001962</x:v>
      </x:c>
      <x:c r="E818" s="28" t="str">
        <x:v>国内现货价格:批发价:柴油(0#)</x:v>
      </x:c>
      <x:c r="F818" s="28" t="str">
        <x:v>Domestic Spot Price: Wholesale Price: Diesel 0 #</x:v>
      </x:c>
      <x:c r="G818" s="27" t="str">
        <x:v>周</x:v>
      </x:c>
      <x:c r="H818" s="27" t="str">
        <x:v>元/吨</x:v>
      </x:c>
      <x:c r="I818" s="27" t="str">
        <x:v>当期值</x:v>
      </x:c>
      <x:c r="J818" s="27" t="str">
        <x:v>全国</x:v>
      </x:c>
      <x:c r="K818" s="27" t="str">
        <x:v>中国</x:v>
      </x:c>
      <x:c r="L818" s="28" t="str">
        <x:v>商务部</x:v>
      </x:c>
      <x:c r="M818" s="28" t="str">
        <x:v>getEcoDataChina</x:v>
      </x:c>
      <x:c r="N818" s="27" t="str">
        <x:v>2008-06-15</x:v>
      </x:c>
      <x:c r="O818" s="27" t="str">
        <x:v>2026-07-31</x:v>
      </x:c>
      <x:c r="P818" s="27" t="str">
        <x:v>持续更新</x:v>
      </x:c>
      <x:c r="Q818" s="27" t="str"/>
      <x:c r="R818" s="28" t="str"/>
    </x:row>
    <x:row r="819" ht="48" customHeight="1">
      <x:c r="A819" s="27" t="str">
        <x:v>801960</x:v>
      </x:c>
      <x:c r="B819" s="27" t="str">
        <x:v>石油石化</x:v>
      </x:c>
      <x:c r="C819" s="27" t="n">
        <x:v>8</x:v>
      </x:c>
      <x:c r="D819" s="27" t="str">
        <x:v>1040001968</x:v>
      </x:c>
      <x:c r="E819" s="28" t="str">
        <x:v>国内现货价格:批发价:汽油(93#)</x:v>
      </x:c>
      <x:c r="F819" s="28" t="str">
        <x:v>Domestic Spot Price: Wholesale Price: Gasoline 93 #</x:v>
      </x:c>
      <x:c r="G819" s="27" t="str">
        <x:v>周</x:v>
      </x:c>
      <x:c r="H819" s="27" t="str">
        <x:v>元/吨</x:v>
      </x:c>
      <x:c r="I819" s="27" t="str">
        <x:v>当期值</x:v>
      </x:c>
      <x:c r="J819" s="27" t="str">
        <x:v>全国</x:v>
      </x:c>
      <x:c r="K819" s="27" t="str">
        <x:v>中国</x:v>
      </x:c>
      <x:c r="L819" s="28" t="str">
        <x:v>商务部</x:v>
      </x:c>
      <x:c r="M819" s="28" t="str">
        <x:v>getEcoDataChina</x:v>
      </x:c>
      <x:c r="N819" s="27" t="str">
        <x:v>2008-06-15</x:v>
      </x:c>
      <x:c r="O819" s="27" t="str">
        <x:v>2026-07-31</x:v>
      </x:c>
      <x:c r="P819" s="27" t="str">
        <x:v>持续更新</x:v>
      </x:c>
      <x:c r="Q819" s="27" t="str"/>
      <x:c r="R819" s="28" t="str"/>
    </x:row>
    <x:row r="820" ht="48" customHeight="1">
      <x:c r="A820" s="27" t="str">
        <x:v>801960</x:v>
      </x:c>
      <x:c r="B820" s="27" t="str">
        <x:v>石油石化</x:v>
      </x:c>
      <x:c r="C820" s="27" t="n">
        <x:v>9</x:v>
      </x:c>
      <x:c r="D820" s="27" t="str">
        <x:v>1040001966</x:v>
      </x:c>
      <x:c r="E820" s="28" t="str">
        <x:v>国内现货价格:批发价:汽油(97#)</x:v>
      </x:c>
      <x:c r="F820" s="28" t="str">
        <x:v>Domestic Spot Price: Wholesale Price: Gasoline 97 #</x:v>
      </x:c>
      <x:c r="G820" s="27" t="str">
        <x:v>周</x:v>
      </x:c>
      <x:c r="H820" s="27" t="str">
        <x:v>元/吨</x:v>
      </x:c>
      <x:c r="I820" s="27" t="str">
        <x:v>当期值</x:v>
      </x:c>
      <x:c r="J820" s="27" t="str">
        <x:v>全国</x:v>
      </x:c>
      <x:c r="K820" s="27" t="str">
        <x:v>中国</x:v>
      </x:c>
      <x:c r="L820" s="28" t="str">
        <x:v>商务部</x:v>
      </x:c>
      <x:c r="M820" s="28" t="str">
        <x:v>getEcoDataChina</x:v>
      </x:c>
      <x:c r="N820" s="27" t="str">
        <x:v>2008-06-15</x:v>
      </x:c>
      <x:c r="O820" s="27" t="str">
        <x:v>2026-07-31</x:v>
      </x:c>
      <x:c r="P820" s="27" t="str">
        <x:v>持续更新</x:v>
      </x:c>
      <x:c r="Q820" s="27" t="str"/>
      <x:c r="R820" s="28" t="str"/>
    </x:row>
    <x:row r="821" ht="48" customHeight="1">
      <x:c r="A821" s="27" t="str">
        <x:v>801960</x:v>
      </x:c>
      <x:c r="B821" s="27" t="str">
        <x:v>石油石化</x:v>
      </x:c>
      <x:c r="C821" s="27" t="n">
        <x:v>10</x:v>
      </x:c>
      <x:c r="D821" s="27" t="str">
        <x:v>1040001963</x:v>
      </x:c>
      <x:c r="E821" s="28" t="str">
        <x:v>国内现货价格:零售价:柴油(0#)</x:v>
      </x:c>
      <x:c r="F821" s="28" t="str">
        <x:v>Domestic Spot Price: Retail Price: Diesel 0 #</x:v>
      </x:c>
      <x:c r="G821" s="27" t="str">
        <x:v>周</x:v>
      </x:c>
      <x:c r="H821" s="27" t="str">
        <x:v>元/吨</x:v>
      </x:c>
      <x:c r="I821" s="27" t="str">
        <x:v>当期值</x:v>
      </x:c>
      <x:c r="J821" s="27" t="str">
        <x:v>全国</x:v>
      </x:c>
      <x:c r="K821" s="27" t="str">
        <x:v>中国</x:v>
      </x:c>
      <x:c r="L821" s="28" t="str">
        <x:v>商务部</x:v>
      </x:c>
      <x:c r="M821" s="28" t="str">
        <x:v>getEcoDataChina</x:v>
      </x:c>
      <x:c r="N821" s="27" t="str">
        <x:v>2003-06-15</x:v>
      </x:c>
      <x:c r="O821" s="27" t="str">
        <x:v>2026-07-31</x:v>
      </x:c>
      <x:c r="P821" s="27" t="str">
        <x:v>持续更新</x:v>
      </x:c>
      <x:c r="Q821" s="27" t="str"/>
      <x:c r="R821" s="28" t="str"/>
    </x:row>
    <x:row r="822" ht="48" customHeight="1">
      <x:c r="A822" s="27" t="str">
        <x:v>801960</x:v>
      </x:c>
      <x:c r="B822" s="27" t="str">
        <x:v>石油石化</x:v>
      </x:c>
      <x:c r="C822" s="27" t="n">
        <x:v>11</x:v>
      </x:c>
      <x:c r="D822" s="27" t="str">
        <x:v>1040001969</x:v>
      </x:c>
      <x:c r="E822" s="28" t="str">
        <x:v>国内现货价格:零售价:汽油(93#)</x:v>
      </x:c>
      <x:c r="F822" s="28" t="str">
        <x:v>Domestic Spot Price: Retail Price: Gasoline 93 #</x:v>
      </x:c>
      <x:c r="G822" s="27" t="str">
        <x:v>周</x:v>
      </x:c>
      <x:c r="H822" s="27" t="str">
        <x:v>元/吨</x:v>
      </x:c>
      <x:c r="I822" s="27" t="str">
        <x:v>当期值</x:v>
      </x:c>
      <x:c r="J822" s="27" t="str">
        <x:v>全国</x:v>
      </x:c>
      <x:c r="K822" s="27" t="str">
        <x:v>中国</x:v>
      </x:c>
      <x:c r="L822" s="28" t="str">
        <x:v>商务部</x:v>
      </x:c>
      <x:c r="M822" s="28" t="str">
        <x:v>getEcoDataChina</x:v>
      </x:c>
      <x:c r="N822" s="27" t="str">
        <x:v>2004-01-01</x:v>
      </x:c>
      <x:c r="O822" s="27" t="str">
        <x:v>2026-07-31</x:v>
      </x:c>
      <x:c r="P822" s="27" t="str">
        <x:v>持续更新</x:v>
      </x:c>
      <x:c r="Q822" s="27" t="str"/>
      <x:c r="R822" s="28" t="str"/>
    </x:row>
    <x:row r="823" ht="48" customHeight="1">
      <x:c r="A823" s="27" t="str">
        <x:v>801960</x:v>
      </x:c>
      <x:c r="B823" s="27" t="str">
        <x:v>石油石化</x:v>
      </x:c>
      <x:c r="C823" s="27" t="n">
        <x:v>12</x:v>
      </x:c>
      <x:c r="D823" s="27" t="str">
        <x:v>1040001967</x:v>
      </x:c>
      <x:c r="E823" s="28" t="str">
        <x:v>国内现货价格:零售价:汽油(97#)</x:v>
      </x:c>
      <x:c r="F823" s="28" t="str">
        <x:v>Domestic Spot Price: Retail Price: Gasoline 97 #</x:v>
      </x:c>
      <x:c r="G823" s="27" t="str">
        <x:v>周</x:v>
      </x:c>
      <x:c r="H823" s="27" t="str">
        <x:v>元/吨</x:v>
      </x:c>
      <x:c r="I823" s="27" t="str">
        <x:v>当期值</x:v>
      </x:c>
      <x:c r="J823" s="27" t="str">
        <x:v>全国</x:v>
      </x:c>
      <x:c r="K823" s="27" t="str">
        <x:v>中国</x:v>
      </x:c>
      <x:c r="L823" s="28" t="str">
        <x:v>商务部</x:v>
      </x:c>
      <x:c r="M823" s="28" t="str">
        <x:v>getEcoDataChina</x:v>
      </x:c>
      <x:c r="N823" s="27" t="str">
        <x:v>2004-01-01</x:v>
      </x:c>
      <x:c r="O823" s="27" t="str">
        <x:v>2026-07-31</x:v>
      </x:c>
      <x:c r="P823" s="27" t="str">
        <x:v>持续更新</x:v>
      </x:c>
      <x:c r="Q823" s="27" t="str"/>
      <x:c r="R823" s="28" t="str"/>
    </x:row>
    <x:row r="824" ht="48" customHeight="1">
      <x:c r="A824" s="27" t="str">
        <x:v>801960</x:v>
      </x:c>
      <x:c r="B824" s="27" t="str">
        <x:v>石油石化</x:v>
      </x:c>
      <x:c r="C824" s="27" t="n">
        <x:v>13</x:v>
      </x:c>
      <x:c r="D824" s="27" t="str">
        <x:v>1040002016</x:v>
      </x:c>
      <x:c r="E824" s="28" t="str">
        <x:v>国际期货价格:原油</x:v>
      </x:c>
      <x:c r="F824" s="28" t="str">
        <x:v>International Futures Prices: Crude Oil</x:v>
      </x:c>
      <x:c r="G824" s="27" t="str">
        <x:v>周</x:v>
      </x:c>
      <x:c r="H824" s="27" t="str">
        <x:v>美元/桶</x:v>
      </x:c>
      <x:c r="I824" s="27" t="str">
        <x:v>当期值</x:v>
      </x:c>
      <x:c r="J824" s="27" t="str">
        <x:v>全国</x:v>
      </x:c>
      <x:c r="K824" s="27" t="str">
        <x:v>中国</x:v>
      </x:c>
      <x:c r="L824" s="28" t="str">
        <x:v>商务部</x:v>
      </x:c>
      <x:c r="M824" s="28" t="str">
        <x:v>getEcoDataChina</x:v>
      </x:c>
      <x:c r="N824" s="27" t="str">
        <x:v>2005-01-21</x:v>
      </x:c>
      <x:c r="O824" s="27" t="str">
        <x:v>2026-07-31</x:v>
      </x:c>
      <x:c r="P824" s="27" t="str">
        <x:v>持续更新</x:v>
      </x:c>
      <x:c r="Q824" s="27" t="str"/>
      <x:c r="R824" s="28" t="str"/>
    </x:row>
    <x:row r="825" ht="48" customHeight="1">
      <x:c r="A825" s="27" t="str">
        <x:v>801960</x:v>
      </x:c>
      <x:c r="B825" s="27" t="str">
        <x:v>石油石化</x:v>
      </x:c>
      <x:c r="C825" s="27" t="n">
        <x:v>14</x:v>
      </x:c>
      <x:c r="D825" s="27" t="str">
        <x:v>1040002020</x:v>
      </x:c>
      <x:c r="E825" s="28" t="str">
        <x:v>国际期货价格:天然气</x:v>
      </x:c>
      <x:c r="F825" s="28" t="str">
        <x:v>International Futures Prices: Natural Gas</x:v>
      </x:c>
      <x:c r="G825" s="27" t="str">
        <x:v>周</x:v>
      </x:c>
      <x:c r="H825" s="27" t="str">
        <x:v>美元/百万英热</x:v>
      </x:c>
      <x:c r="I825" s="27" t="str">
        <x:v>当期值</x:v>
      </x:c>
      <x:c r="J825" s="27" t="str">
        <x:v>全国</x:v>
      </x:c>
      <x:c r="K825" s="27" t="str">
        <x:v>中国</x:v>
      </x:c>
      <x:c r="L825" s="28" t="str">
        <x:v>商务部</x:v>
      </x:c>
      <x:c r="M825" s="28" t="str">
        <x:v>getEcoDataChina</x:v>
      </x:c>
      <x:c r="N825" s="27" t="str">
        <x:v>2005-01-21</x:v>
      </x:c>
      <x:c r="O825" s="27" t="str">
        <x:v>2026-07-31</x:v>
      </x:c>
      <x:c r="P825" s="27" t="str">
        <x:v>持续更新</x:v>
      </x:c>
      <x:c r="Q825" s="27" t="str"/>
      <x:c r="R825" s="28" t="str"/>
    </x:row>
    <x:row r="826" ht="48" customHeight="1">
      <x:c r="A826" s="27" t="str">
        <x:v>801960</x:v>
      </x:c>
      <x:c r="B826" s="27" t="str">
        <x:v>石油石化</x:v>
      </x:c>
      <x:c r="C826" s="27" t="n">
        <x:v>15</x:v>
      </x:c>
      <x:c r="D826" s="27" t="str">
        <x:v>1040002017</x:v>
      </x:c>
      <x:c r="E826" s="28" t="str">
        <x:v>国际期货价格:燃料油</x:v>
      </x:c>
      <x:c r="F826" s="28" t="str">
        <x:v>International Futures Prices: Fuel Oil</x:v>
      </x:c>
      <x:c r="G826" s="27" t="str">
        <x:v>周</x:v>
      </x:c>
      <x:c r="H826" s="27" t="str">
        <x:v>美分/加仑</x:v>
      </x:c>
      <x:c r="I826" s="27" t="str">
        <x:v>当期值</x:v>
      </x:c>
      <x:c r="J826" s="27" t="str">
        <x:v>全国</x:v>
      </x:c>
      <x:c r="K826" s="27" t="str">
        <x:v>中国</x:v>
      </x:c>
      <x:c r="L826" s="28" t="str">
        <x:v>商务部</x:v>
      </x:c>
      <x:c r="M826" s="28" t="str">
        <x:v>getEcoDataChina</x:v>
      </x:c>
      <x:c r="N826" s="27" t="str">
        <x:v>2005-01-21</x:v>
      </x:c>
      <x:c r="O826" s="27" t="str">
        <x:v>2026-07-31</x:v>
      </x:c>
      <x:c r="P826" s="27" t="str">
        <x:v>持续更新</x:v>
      </x:c>
      <x:c r="Q826" s="27" t="str"/>
      <x:c r="R826" s="28" t="str"/>
    </x:row>
    <x:row r="827" ht="48" customHeight="1">
      <x:c r="A827" s="27" t="str">
        <x:v>801960</x:v>
      </x:c>
      <x:c r="B827" s="27" t="str">
        <x:v>石油石化</x:v>
      </x:c>
      <x:c r="C827" s="27" t="n">
        <x:v>16</x:v>
      </x:c>
      <x:c r="D827" s="27" t="str">
        <x:v>1040002018</x:v>
      </x:c>
      <x:c r="E827" s="28" t="str">
        <x:v>国际期货价格:轻柴油</x:v>
      </x:c>
      <x:c r="F827" s="28" t="str">
        <x:v>International Futures Prices: Light Diesel Oil</x:v>
      </x:c>
      <x:c r="G827" s="27" t="str">
        <x:v>周</x:v>
      </x:c>
      <x:c r="H827" s="27" t="str">
        <x:v>美元/吨</x:v>
      </x:c>
      <x:c r="I827" s="27" t="str">
        <x:v>当期值</x:v>
      </x:c>
      <x:c r="J827" s="27" t="str">
        <x:v>全国</x:v>
      </x:c>
      <x:c r="K827" s="27" t="str">
        <x:v>中国</x:v>
      </x:c>
      <x:c r="L827" s="28" t="str">
        <x:v>商务部</x:v>
      </x:c>
      <x:c r="M827" s="28" t="str">
        <x:v>getEcoDataChina</x:v>
      </x:c>
      <x:c r="N827" s="27" t="str">
        <x:v>2005-01-21</x:v>
      </x:c>
      <x:c r="O827" s="27" t="str">
        <x:v>2026-07-31</x:v>
      </x:c>
      <x:c r="P827" s="27" t="str">
        <x:v>持续更新</x:v>
      </x:c>
      <x:c r="Q827" s="27" t="str"/>
      <x:c r="R827" s="28" t="str"/>
    </x:row>
    <x:row r="828" ht="48" customHeight="1">
      <x:c r="A828" s="27" t="str">
        <x:v>801960</x:v>
      </x:c>
      <x:c r="B828" s="27" t="str">
        <x:v>石油石化</x:v>
      </x:c>
      <x:c r="C828" s="27" t="n">
        <x:v>17</x:v>
      </x:c>
      <x:c r="D828" s="27" t="str">
        <x:v>1040002014</x:v>
      </x:c>
      <x:c r="E828" s="28" t="str">
        <x:v>国际现货价格:原油(布)</x:v>
      </x:c>
      <x:c r="F828" s="28" t="str">
        <x:v>International Spot Price: Crude Oil (Cloth)</x:v>
      </x:c>
      <x:c r="G828" s="27" t="str">
        <x:v>周</x:v>
      </x:c>
      <x:c r="H828" s="27" t="str">
        <x:v>美元/桶</x:v>
      </x:c>
      <x:c r="I828" s="27" t="str">
        <x:v>当期值</x:v>
      </x:c>
      <x:c r="J828" s="27" t="str">
        <x:v>全国</x:v>
      </x:c>
      <x:c r="K828" s="27" t="str">
        <x:v>中国</x:v>
      </x:c>
      <x:c r="L828" s="28" t="str">
        <x:v>商务部</x:v>
      </x:c>
      <x:c r="M828" s="28" t="str">
        <x:v>getEcoDataChina</x:v>
      </x:c>
      <x:c r="N828" s="27" t="str">
        <x:v>2005-01-21</x:v>
      </x:c>
      <x:c r="O828" s="27" t="str">
        <x:v>2026-07-31</x:v>
      </x:c>
      <x:c r="P828" s="27" t="str">
        <x:v>持续更新</x:v>
      </x:c>
      <x:c r="Q828" s="27" t="str"/>
      <x:c r="R828" s="28" t="str"/>
    </x:row>
    <x:row r="829" ht="48" customHeight="1">
      <x:c r="A829" s="27" t="str">
        <x:v>801960</x:v>
      </x:c>
      <x:c r="B829" s="27" t="str">
        <x:v>石油石化</x:v>
      </x:c>
      <x:c r="C829" s="27" t="n">
        <x:v>18</x:v>
      </x:c>
      <x:c r="D829" s="27" t="str">
        <x:v>1040005215</x:v>
      </x:c>
      <x:c r="E829" s="28" t="str">
        <x:v>国际现货价格:柴油</x:v>
      </x:c>
      <x:c r="F829" s="28" t="str">
        <x:v>International Spot Price: Diesel</x:v>
      </x:c>
      <x:c r="G829" s="27" t="str">
        <x:v>周</x:v>
      </x:c>
      <x:c r="H829" s="27" t="str">
        <x:v>美元/桶</x:v>
      </x:c>
      <x:c r="I829" s="27" t="str">
        <x:v>当期值</x:v>
      </x:c>
      <x:c r="J829" s="27" t="str">
        <x:v>全国</x:v>
      </x:c>
      <x:c r="K829" s="27" t="str">
        <x:v>中国</x:v>
      </x:c>
      <x:c r="L829" s="28" t="str">
        <x:v>商务部</x:v>
      </x:c>
      <x:c r="M829" s="28" t="str">
        <x:v>getEcoDataChina</x:v>
      </x:c>
      <x:c r="N829" s="27" t="str">
        <x:v>2005-01-21</x:v>
      </x:c>
      <x:c r="O829" s="27" t="str">
        <x:v>2026-07-31</x:v>
      </x:c>
      <x:c r="P829" s="27" t="str">
        <x:v>持续更新</x:v>
      </x:c>
      <x:c r="Q829" s="27" t="str"/>
      <x:c r="R829" s="28" t="str"/>
    </x:row>
    <x:row r="830" ht="48" customHeight="1">
      <x:c r="A830" s="27" t="str">
        <x:v>801960</x:v>
      </x:c>
      <x:c r="B830" s="27" t="str">
        <x:v>石油石化</x:v>
      </x:c>
      <x:c r="C830" s="27" t="n">
        <x:v>19</x:v>
      </x:c>
      <x:c r="D830" s="27" t="str">
        <x:v>1040005216</x:v>
      </x:c>
      <x:c r="E830" s="28" t="str">
        <x:v>国际现货价格:汽油</x:v>
      </x:c>
      <x:c r="F830" s="28" t="str">
        <x:v>International Spot Price: Gasoline</x:v>
      </x:c>
      <x:c r="G830" s="27" t="str">
        <x:v>周</x:v>
      </x:c>
      <x:c r="H830" s="27" t="str">
        <x:v>美元/桶</x:v>
      </x:c>
      <x:c r="I830" s="27" t="str">
        <x:v>当期值</x:v>
      </x:c>
      <x:c r="J830" s="27" t="str">
        <x:v>全国</x:v>
      </x:c>
      <x:c r="K830" s="27" t="str">
        <x:v>中国</x:v>
      </x:c>
      <x:c r="L830" s="28" t="str">
        <x:v>商务部</x:v>
      </x:c>
      <x:c r="M830" s="28" t="str">
        <x:v>getEcoDataChina</x:v>
      </x:c>
      <x:c r="N830" s="27" t="str">
        <x:v>2005-01-21</x:v>
      </x:c>
      <x:c r="O830" s="27" t="str">
        <x:v>2026-07-31</x:v>
      </x:c>
      <x:c r="P830" s="27" t="str">
        <x:v>持续更新</x:v>
      </x:c>
      <x:c r="Q830" s="27" t="str"/>
      <x:c r="R830" s="28" t="str"/>
    </x:row>
    <x:row r="831" ht="48" customHeight="1">
      <x:c r="A831" s="27" t="str">
        <x:v>801960</x:v>
      </x:c>
      <x:c r="B831" s="27" t="str">
        <x:v>石油石化</x:v>
      </x:c>
      <x:c r="C831" s="27" t="n">
        <x:v>20</x:v>
      </x:c>
      <x:c r="D831" s="27" t="str">
        <x:v>2020102327</x:v>
      </x:c>
      <x:c r="E831" s="28" t="str">
        <x:v>产量:液化石油气:当月值</x:v>
      </x:c>
      <x:c r="F831" s="28" t="str">
        <x:v>Liquefied Petroleum Gas: Output</x:v>
      </x:c>
      <x:c r="G831" s="27" t="str">
        <x:v>月</x:v>
      </x:c>
      <x:c r="H831" s="27" t="str">
        <x:v>万吨</x:v>
      </x:c>
      <x:c r="I831" s="27" t="str">
        <x:v>当期值</x:v>
      </x:c>
      <x:c r="J831" s="27" t="str">
        <x:v>全国</x:v>
      </x:c>
      <x:c r="K831" s="27" t="str">
        <x:v>中国</x:v>
      </x:c>
      <x:c r="L831" s="28" t="str">
        <x:v>国家统计局</x:v>
      </x:c>
      <x:c r="M831" s="28" t="str">
        <x:v>getEcoDataIndEnergy</x:v>
      </x:c>
      <x:c r="N831" s="27" t="str">
        <x:v>2000-07-31</x:v>
      </x:c>
      <x:c r="O831" s="27" t="str">
        <x:v>2026-06-30</x:v>
      </x:c>
      <x:c r="P831" s="27" t="str">
        <x:v>持续更新</x:v>
      </x:c>
      <x:c r="Q831" s="27" t="str"/>
      <x:c r="R831" s="28" t="str"/>
    </x:row>
    <x:row r="832" ht="48" customHeight="1">
      <x:c r="A832" s="27" t="str">
        <x:v>801960</x:v>
      </x:c>
      <x:c r="B832" s="27" t="str">
        <x:v>石油石化</x:v>
      </x:c>
      <x:c r="C832" s="27" t="n">
        <x:v>21</x:v>
      </x:c>
      <x:c r="D832" s="27" t="str">
        <x:v>1020000172</x:v>
      </x:c>
      <x:c r="E832" s="28" t="str">
        <x:v>出口交货值:石油和天然气开采业:当月同比</x:v>
      </x:c>
      <x:c r="F832" s="28" t="str">
        <x:v>Export Delivery Value: Oil And Gas Exploration Industry: Current YoY (Month)</x:v>
      </x:c>
      <x:c r="G832" s="27" t="str">
        <x:v>月</x:v>
      </x:c>
      <x:c r="H832" s="27" t="str">
        <x:v>%</x:v>
      </x:c>
      <x:c r="I832" s="27" t="str">
        <x:v>当期同比</x:v>
      </x:c>
      <x:c r="J832" s="27" t="str">
        <x:v>全国</x:v>
      </x:c>
      <x:c r="K832" s="27" t="str">
        <x:v>中国</x:v>
      </x:c>
      <x:c r="L832" s="28" t="str">
        <x:v>国家统计局</x:v>
      </x:c>
      <x:c r="M832" s="28" t="str">
        <x:v>getEcoDataChina</x:v>
      </x:c>
      <x:c r="N832" s="27" t="str">
        <x:v>2007-02-28</x:v>
      </x:c>
      <x:c r="O832" s="27" t="str">
        <x:v>2026-06-30</x:v>
      </x:c>
      <x:c r="P832" s="27" t="str">
        <x:v>持续更新</x:v>
      </x:c>
      <x:c r="Q832" s="27" t="str"/>
      <x:c r="R832" s="28" t="str"/>
    </x:row>
    <x:row r="833" ht="48" customHeight="1">
      <x:c r="A833" s="27" t="str">
        <x:v>801960</x:v>
      </x:c>
      <x:c r="B833" s="27" t="str">
        <x:v>石油石化</x:v>
      </x:c>
      <x:c r="C833" s="27" t="n">
        <x:v>22</x:v>
      </x:c>
      <x:c r="D833" s="27" t="str">
        <x:v>1020000131</x:v>
      </x:c>
      <x:c r="E833" s="28" t="str">
        <x:v>出口交货值:石油和天然气开采业:当期值</x:v>
      </x:c>
      <x:c r="F833" s="28" t="str">
        <x:v>Export Delivery Value: Oil And Gas Exploration Industry: Current Value</x:v>
      </x:c>
      <x:c r="G833" s="27" t="str">
        <x:v>月</x:v>
      </x:c>
      <x:c r="H833" s="27" t="str">
        <x:v>亿元</x:v>
      </x:c>
      <x:c r="I833" s="27" t="str">
        <x:v>当期值</x:v>
      </x:c>
      <x:c r="J833" s="27" t="str">
        <x:v>全国</x:v>
      </x:c>
      <x:c r="K833" s="27" t="str">
        <x:v>中国</x:v>
      </x:c>
      <x:c r="L833" s="28" t="str">
        <x:v>国家统计局</x:v>
      </x:c>
      <x:c r="M833" s="28" t="str">
        <x:v>getEcoDataChina</x:v>
      </x:c>
      <x:c r="N833" s="27" t="str">
        <x:v>2007-02-28</x:v>
      </x:c>
      <x:c r="O833" s="27" t="str">
        <x:v>2026-06-30</x:v>
      </x:c>
      <x:c r="P833" s="27" t="str">
        <x:v>持续更新</x:v>
      </x:c>
      <x:c r="Q833" s="27" t="str"/>
      <x:c r="R833" s="28" t="str"/>
    </x:row>
    <x:row r="834" ht="48" customHeight="1">
      <x:c r="A834" s="27" t="str">
        <x:v>801960</x:v>
      </x:c>
      <x:c r="B834" s="27" t="str">
        <x:v>石油石化</x:v>
      </x:c>
      <x:c r="C834" s="27" t="n">
        <x:v>23</x:v>
      </x:c>
      <x:c r="D834" s="27" t="str">
        <x:v>2030763079</x:v>
      </x:c>
      <x:c r="E834" s="28" t="str">
        <x:v>出口数量:石油原油及从沥青矿物提取的原油(2709):当月值</x:v>
      </x:c>
      <x:c r="F834" s="28" t="str">
        <x:v>Export Quantity: Petroleum Crude Oil And Crude Oil Extracted From Bituminous Minerals (2709): Current Month Value</x:v>
      </x:c>
      <x:c r="G834" s="27" t="str">
        <x:v>月</x:v>
      </x:c>
      <x:c r="H834" s="27" t="str">
        <x:v>千克</x:v>
      </x:c>
      <x:c r="I834" s="27" t="str">
        <x:v>当期值</x:v>
      </x:c>
      <x:c r="J834" s="27" t="str">
        <x:v>中国</x:v>
      </x:c>
      <x:c r="K834" s="27" t="str">
        <x:v>中国</x:v>
      </x:c>
      <x:c r="L834" s="28" t="str">
        <x:v>海关总署</x:v>
      </x:c>
      <x:c r="M834" s="28" t="str">
        <x:v>getEcoDataIndChemical</x:v>
      </x:c>
      <x:c r="N834" s="27" t="str">
        <x:v>2015-01-31</x:v>
      </x:c>
      <x:c r="O834" s="27" t="str">
        <x:v>2026-06-30</x:v>
      </x:c>
      <x:c r="P834" s="27" t="str">
        <x:v>持续更新</x:v>
      </x:c>
      <x:c r="Q834" s="27" t="str"/>
      <x:c r="R834" s="28" t="str"/>
    </x:row>
    <x:row r="835" ht="48" customHeight="1">
      <x:c r="A835" s="27" t="str">
        <x:v>801960</x:v>
      </x:c>
      <x:c r="B835" s="27" t="str">
        <x:v>石油石化</x:v>
      </x:c>
      <x:c r="C835" s="27" t="n">
        <x:v>24</x:v>
      </x:c>
      <x:c r="D835" s="27" t="str">
        <x:v>2030763072</x:v>
      </x:c>
      <x:c r="E835" s="28" t="str">
        <x:v>出口金额(美元):石油原油及从沥青矿物提取的原油(2709):当月值</x:v>
      </x:c>
      <x:c r="F835" s="28" t="str">
        <x:v>Export Value (USD): Petroleum Crude Oil And Crude Oil Extracted From Bituminous Minerals (2709): Current Month Value</x:v>
      </x:c>
      <x:c r="G835" s="27" t="str">
        <x:v>月</x:v>
      </x:c>
      <x:c r="H835" s="27" t="str">
        <x:v>美元</x:v>
      </x:c>
      <x:c r="I835" s="27" t="str">
        <x:v>当期值</x:v>
      </x:c>
      <x:c r="J835" s="27" t="str">
        <x:v>中国</x:v>
      </x:c>
      <x:c r="K835" s="27" t="str">
        <x:v>中国</x:v>
      </x:c>
      <x:c r="L835" s="28" t="str">
        <x:v>海关总署</x:v>
      </x:c>
      <x:c r="M835" s="28" t="str">
        <x:v>getEcoDataIndChemical</x:v>
      </x:c>
      <x:c r="N835" s="27" t="str">
        <x:v>2015-01-31</x:v>
      </x:c>
      <x:c r="O835" s="27" t="str">
        <x:v>2026-06-30</x:v>
      </x:c>
      <x:c r="P835" s="27" t="str">
        <x:v>持续更新</x:v>
      </x:c>
      <x:c r="Q835" s="27" t="str"/>
      <x:c r="R835" s="28" t="str"/>
    </x:row>
    <x:row r="836" ht="48" customHeight="1">
      <x:c r="A836" s="27" t="str">
        <x:v>801960</x:v>
      </x:c>
      <x:c r="B836" s="27" t="str">
        <x:v>石油石化</x:v>
      </x:c>
      <x:c r="C836" s="27" t="n">
        <x:v>25</x:v>
      </x:c>
      <x:c r="D836" s="27" t="str">
        <x:v>2030763106</x:v>
      </x:c>
      <x:c r="E836" s="28" t="str">
        <x:v>出口金额(美元):石油气及其他烃类气(2711):当月值</x:v>
      </x:c>
      <x:c r="F836" s="28" t="str">
        <x:v>Export Value (USD): Petroleum Gas And Other Hydrocarbon Gas (2711): Current Month Value</x:v>
      </x:c>
      <x:c r="G836" s="27" t="str">
        <x:v>月</x:v>
      </x:c>
      <x:c r="H836" s="27" t="str">
        <x:v>美元</x:v>
      </x:c>
      <x:c r="I836" s="27" t="str">
        <x:v>当期值</x:v>
      </x:c>
      <x:c r="J836" s="27" t="str">
        <x:v>中国</x:v>
      </x:c>
      <x:c r="K836" s="27" t="str">
        <x:v>中国</x:v>
      </x:c>
      <x:c r="L836" s="28" t="str">
        <x:v>海关总署</x:v>
      </x:c>
      <x:c r="M836" s="28" t="str">
        <x:v>getEcoDataIndChemical</x:v>
      </x:c>
      <x:c r="N836" s="27" t="str">
        <x:v>2015-01-31</x:v>
      </x:c>
      <x:c r="O836" s="27" t="str">
        <x:v>2026-06-30</x:v>
      </x:c>
      <x:c r="P836" s="27" t="str">
        <x:v>持续更新</x:v>
      </x:c>
      <x:c r="Q836" s="27" t="str"/>
      <x:c r="R836" s="28" t="str"/>
    </x:row>
    <x:row r="837" ht="48" customHeight="1">
      <x:c r="A837" s="27" t="str">
        <x:v>801960</x:v>
      </x:c>
      <x:c r="B837" s="27" t="str">
        <x:v>石油石化</x:v>
      </x:c>
      <x:c r="C837" s="27" t="n">
        <x:v>26</x:v>
      </x:c>
      <x:c r="D837" s="27" t="str">
        <x:v>1020008193</x:v>
      </x:c>
      <x:c r="E837" s="28" t="str">
        <x:v>工业企业:利润总额:石油和天然气开采业:累计值</x:v>
      </x:c>
      <x:c r="F837" s="28" t="str">
        <x:v>Total Profit: Oil and Gas Extraction Industry: Cumulative Value</x:v>
      </x:c>
      <x:c r="G837" s="27" t="str">
        <x:v>月</x:v>
      </x:c>
      <x:c r="H837" s="27" t="str">
        <x:v>亿元</x:v>
      </x:c>
      <x:c r="I837" s="27" t="str">
        <x:v>累计值</x:v>
      </x:c>
      <x:c r="J837" s="27" t="str">
        <x:v>全国</x:v>
      </x:c>
      <x:c r="K837" s="27" t="str">
        <x:v>中国</x:v>
      </x:c>
      <x:c r="L837" s="28" t="str">
        <x:v>国家统计局</x:v>
      </x:c>
      <x:c r="M837" s="28" t="str">
        <x:v>getEcoDataChina</x:v>
      </x:c>
      <x:c r="N837" s="27" t="str">
        <x:v>2000-02-29</x:v>
      </x:c>
      <x:c r="O837" s="27" t="str">
        <x:v>2026-06-30</x:v>
      </x:c>
      <x:c r="P837" s="27" t="str">
        <x:v>持续更新</x:v>
      </x:c>
      <x:c r="Q837" s="27" t="str"/>
      <x:c r="R837" s="28" t="str"/>
    </x:row>
    <x:row r="838" ht="48" customHeight="1">
      <x:c r="A838" s="27" t="str">
        <x:v>801960</x:v>
      </x:c>
      <x:c r="B838" s="27" t="str">
        <x:v>石油石化</x:v>
      </x:c>
      <x:c r="C838" s="27" t="n">
        <x:v>27</x:v>
      </x:c>
      <x:c r="D838" s="27" t="str">
        <x:v>1020010170</x:v>
      </x:c>
      <x:c r="E838" s="28" t="str">
        <x:v>工业企业:营业利润:石油和天然气开采业:累计值</x:v>
      </x:c>
      <x:c r="F838" s="28" t="str">
        <x:v>Operating Profit: Oil and Gas Extraction Industry: Cumulative Value</x:v>
      </x:c>
      <x:c r="G838" s="27" t="str">
        <x:v>月</x:v>
      </x:c>
      <x:c r="H838" s="27" t="str">
        <x:v>亿元</x:v>
      </x:c>
      <x:c r="I838" s="27" t="str">
        <x:v>累计值</x:v>
      </x:c>
      <x:c r="J838" s="27" t="str">
        <x:v>全国</x:v>
      </x:c>
      <x:c r="K838" s="27" t="str">
        <x:v>中国</x:v>
      </x:c>
      <x:c r="L838" s="28" t="str">
        <x:v>国家统计局</x:v>
      </x:c>
      <x:c r="M838" s="28" t="str">
        <x:v>getEcoDataChina</x:v>
      </x:c>
      <x:c r="N838" s="27" t="str">
        <x:v>2017-02-28</x:v>
      </x:c>
      <x:c r="O838" s="27" t="str">
        <x:v>2026-06-30</x:v>
      </x:c>
      <x:c r="P838" s="27" t="str">
        <x:v>持续更新</x:v>
      </x:c>
      <x:c r="Q838" s="27" t="str"/>
      <x:c r="R838" s="28" t="str"/>
    </x:row>
    <x:row r="839" ht="48" customHeight="1">
      <x:c r="A839" s="27" t="str">
        <x:v>801960</x:v>
      </x:c>
      <x:c r="B839" s="27" t="str">
        <x:v>石油石化</x:v>
      </x:c>
      <x:c r="C839" s="27" t="n">
        <x:v>28</x:v>
      </x:c>
      <x:c r="D839" s="27" t="str">
        <x:v>1020000918</x:v>
      </x:c>
      <x:c r="E839" s="28" t="str">
        <x:v>成本费用利润率:石油和天然气开采业</x:v>
      </x:c>
      <x:c r="F839" s="28" t="str">
        <x:v>Profit-To-Cost Ratio: Oil And Gas Exploration Industry</x:v>
      </x:c>
      <x:c r="G839" s="27" t="str">
        <x:v>月</x:v>
      </x:c>
      <x:c r="H839" s="27" t="str">
        <x:v>%</x:v>
      </x:c>
      <x:c r="I839" s="27" t="str">
        <x:v>当期值</x:v>
      </x:c>
      <x:c r="J839" s="27" t="str">
        <x:v>全国</x:v>
      </x:c>
      <x:c r="K839" s="27" t="str">
        <x:v>中国</x:v>
      </x:c>
      <x:c r="L839" s="28" t="str">
        <x:v>国家统计局</x:v>
      </x:c>
      <x:c r="M839" s="28" t="str">
        <x:v>getEcoDataChina</x:v>
      </x:c>
      <x:c r="N839" s="27" t="str">
        <x:v>2003-02-28</x:v>
      </x:c>
      <x:c r="O839" s="27" t="str">
        <x:v>2026-06-30</x:v>
      </x:c>
      <x:c r="P839" s="27" t="str">
        <x:v>持续更新</x:v>
      </x:c>
      <x:c r="Q839" s="27" t="str"/>
      <x:c r="R839" s="28" t="str"/>
    </x:row>
    <x:row r="840" ht="48" customHeight="1">
      <x:c r="A840" s="27" t="str">
        <x:v>801960</x:v>
      </x:c>
      <x:c r="B840" s="27" t="str">
        <x:v>石油石化</x:v>
      </x:c>
      <x:c r="C840" s="27" t="n">
        <x:v>29</x:v>
      </x:c>
      <x:c r="D840" s="27" t="str">
        <x:v>2020102329</x:v>
      </x:c>
      <x:c r="E840" s="28" t="str">
        <x:v>液化石油气:产量:当月同比</x:v>
      </x:c>
      <x:c r="F840" s="28" t="str">
        <x:v>Liquefied Petroleum Gas: Production: YoY</x:v>
      </x:c>
      <x:c r="G840" s="27" t="str">
        <x:v>月</x:v>
      </x:c>
      <x:c r="H840" s="27" t="str">
        <x:v>%</x:v>
      </x:c>
      <x:c r="I840" s="27" t="str">
        <x:v>当期同比</x:v>
      </x:c>
      <x:c r="J840" s="27" t="str">
        <x:v>全国</x:v>
      </x:c>
      <x:c r="K840" s="27" t="str">
        <x:v>中国</x:v>
      </x:c>
      <x:c r="L840" s="28" t="str">
        <x:v>国家统计局</x:v>
      </x:c>
      <x:c r="M840" s="28" t="str">
        <x:v>getEcoDataIndEnergy</x:v>
      </x:c>
      <x:c r="N840" s="27" t="str">
        <x:v>2000-07-31</x:v>
      </x:c>
      <x:c r="O840" s="27" t="str">
        <x:v>2026-06-30</x:v>
      </x:c>
      <x:c r="P840" s="27" t="str">
        <x:v>持续更新</x:v>
      </x:c>
      <x:c r="Q840" s="27" t="str"/>
      <x:c r="R840" s="28" t="str"/>
    </x:row>
    <x:row r="841" ht="48" customHeight="1">
      <x:c r="A841" s="27" t="str">
        <x:v>801960</x:v>
      </x:c>
      <x:c r="B841" s="27" t="str">
        <x:v>石油石化</x:v>
      </x:c>
      <x:c r="C841" s="27" t="n">
        <x:v>30</x:v>
      </x:c>
      <x:c r="D841" s="27" t="str">
        <x:v>1020000838</x:v>
      </x:c>
      <x:c r="E841" s="28" t="str">
        <x:v>税前利润率:石油和天然气开采业</x:v>
      </x:c>
      <x:c r="F841" s="28" t="str">
        <x:v>Pre-Tax Profit Margin: Oil And Gas Exploration Industry</x:v>
      </x:c>
      <x:c r="G841" s="27" t="str">
        <x:v>月</x:v>
      </x:c>
      <x:c r="H841" s="27" t="str">
        <x:v>%</x:v>
      </x:c>
      <x:c r="I841" s="27" t="str">
        <x:v>当期值</x:v>
      </x:c>
      <x:c r="J841" s="27" t="str">
        <x:v>全国</x:v>
      </x:c>
      <x:c r="K841" s="27" t="str">
        <x:v>中国</x:v>
      </x:c>
      <x:c r="L841" s="28" t="str">
        <x:v>国家统计局</x:v>
      </x:c>
      <x:c r="M841" s="28" t="str">
        <x:v>getEcoDataChina</x:v>
      </x:c>
      <x:c r="N841" s="27" t="str">
        <x:v>2000-02-29</x:v>
      </x:c>
      <x:c r="O841" s="27" t="str">
        <x:v>2026-06-30</x:v>
      </x:c>
      <x:c r="P841" s="27" t="str">
        <x:v>持续更新</x:v>
      </x:c>
      <x:c r="Q841" s="27" t="str"/>
      <x:c r="R841" s="28" t="str"/>
    </x:row>
  </x:sheetData>
  <x:dataValidations count="1">
    <x:dataValidation type="list" sqref="Q2:Q841">
      <x:formula1>"通过,保留观察,不采用"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4b190f0e5b4a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4" hidden="0" customWidth="1"/>
    <x:col min="4" max="4" width="18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</x:cols>
  <x:sheetData>
    <x:row r="1">
      <x:c r="A1" s="3" t="str">
        <x:v>复核结果汇总</x:v>
      </x:c>
      <x:c r="B1" s="3"/>
      <x:c r="C1" s="3"/>
      <x:c r="D1" s="3"/>
      <x:c r="E1" s="3"/>
      <x:c r="F1" s="3"/>
      <x:c r="G1" s="3"/>
      <x:c r="H1" s="3"/>
    </x:row>
    <x:row r="3">
      <x:c r="A3" s="9" t="str">
        <x:v>审批复核指标</x:v>
      </x:c>
      <x:c r="B3" s="9" t="str">
        <x:v>数量</x:v>
      </x:c>
      <x:c r="D3" s="9" t="str">
        <x:v>原审批颜色</x:v>
      </x:c>
      <x:c r="E3" s="9" t="str">
        <x:v>可直接替代</x:v>
      </x:c>
      <x:c r="F3" s="9" t="str">
        <x:v>近似替代</x:v>
      </x:c>
      <x:c r="G3" s="9" t="str">
        <x:v>仅补充</x:v>
      </x:c>
      <x:c r="H3" s="9" t="str">
        <x:v>不可替代</x:v>
      </x:c>
    </x:row>
    <x:row r="4">
      <x:c r="A4" s="30" t="str">
        <x:v>总数</x:v>
      </x:c>
      <x:c r="B4" s="10" t="n">
        <x:f>COUNTA('审批指标复核'!A2:A99)</x:f>
        <x:v>98</x:v>
      </x:c>
      <x:c r="D4" s="31" t="str">
        <x:v>黄色</x:v>
      </x:c>
      <x:c r="E4" s="10" t="n">
        <x:f>COUNTIFS('审批指标复核'!A2:A99,D4,'审批指标复核'!B2:B99,E3)</x:f>
        <x:v>36</x:v>
      </x:c>
      <x:c r="F4" s="10" t="n">
        <x:f>COUNTIFS('审批指标复核'!A2:A99,D4,'审批指标复核'!B2:B99,F3)</x:f>
        <x:v>18</x:v>
      </x:c>
      <x:c r="G4" s="10" t="n">
        <x:f>COUNTIFS('审批指标复核'!A2:A99,D4,'审批指标复核'!B2:B99,G3)</x:f>
        <x:v>5</x:v>
      </x:c>
      <x:c r="H4" s="10" t="n">
        <x:f>COUNTIFS('审批指标复核'!A2:A99,D4,'审批指标复核'!B2:B99,H3)</x:f>
        <x:v>0</x:v>
      </x:c>
    </x:row>
    <x:row r="5">
      <x:c r="A5" s="10" t="str">
        <x:v>黄色</x:v>
      </x:c>
      <x:c r="B5" s="10" t="n">
        <x:f>COUNTIF('审批指标复核'!A2:A99,"黄色")</x:f>
        <x:v>59</x:v>
      </x:c>
      <x:c r="D5" s="32" t="str">
        <x:v>绿色</x:v>
      </x:c>
      <x:c r="E5" s="10" t="n">
        <x:f>COUNTIFS('审批指标复核'!A2:A99,D5,'审批指标复核'!B2:B99,E3)</x:f>
        <x:v>1</x:v>
      </x:c>
      <x:c r="F5" s="10" t="n">
        <x:f>COUNTIFS('审批指标复核'!A2:A99,D5,'审批指标复核'!B2:B99,F3)</x:f>
        <x:v>10</x:v>
      </x:c>
      <x:c r="G5" s="10" t="n">
        <x:f>COUNTIFS('审批指标复核'!A2:A99,D5,'审批指标复核'!B2:B99,G3)</x:f>
        <x:v>13</x:v>
      </x:c>
      <x:c r="H5" s="10" t="n">
        <x:f>COUNTIFS('审批指标复核'!A2:A99,D5,'审批指标复核'!B2:B99,H3)</x:f>
        <x:v>8</x:v>
      </x:c>
    </x:row>
    <x:row r="6">
      <x:c r="A6" s="10" t="str">
        <x:v>绿色</x:v>
      </x:c>
      <x:c r="B6" s="10" t="n">
        <x:f>COUNTIF('审批指标复核'!A2:A99,"绿色")</x:f>
        <x:v>32</x:v>
      </x:c>
      <x:c r="D6" s="33" t="str">
        <x:v>蓝色</x:v>
      </x:c>
      <x:c r="E6" s="10" t="n">
        <x:f>COUNTIFS('审批指标复核'!A2:A99,D6,'审批指标复核'!B2:B99,E3)</x:f>
        <x:v>0</x:v>
      </x:c>
      <x:c r="F6" s="10" t="n">
        <x:f>COUNTIFS('审批指标复核'!A2:A99,D6,'审批指标复核'!B2:B99,F3)</x:f>
        <x:v>0</x:v>
      </x:c>
      <x:c r="G6" s="10" t="n">
        <x:f>COUNTIFS('审批指标复核'!A2:A99,D6,'审批指标复核'!B2:B99,G3)</x:f>
        <x:v>7</x:v>
      </x:c>
      <x:c r="H6" s="10" t="n">
        <x:f>COUNTIFS('审批指标复核'!A2:A99,D6,'审批指标复核'!B2:B99,H3)</x:f>
        <x:v>0</x:v>
      </x:c>
    </x:row>
    <x:row r="7">
      <x:c r="A7" s="10" t="str">
        <x:v>蓝色</x:v>
      </x:c>
      <x:c r="B7" s="10" t="n">
        <x:f>COUNTIF('审批指标复核'!A2:A99,"蓝色")</x:f>
        <x:v>7</x:v>
      </x:c>
    </x:row>
    <x:row r="8">
      <x:c r="A8" s="10" t="str">
        <x:v>可直接替代</x:v>
      </x:c>
      <x:c r="B8" s="10" t="n">
        <x:f>COUNTIF('审批指标复核'!B2:B99,"可直接替代")</x:f>
        <x:v>37</x:v>
      </x:c>
    </x:row>
    <x:row r="9">
      <x:c r="A9" s="10" t="str">
        <x:v>近似替代</x:v>
      </x:c>
      <x:c r="B9" s="10" t="n">
        <x:f>COUNTIF('审批指标复核'!B2:B99,"近似替代")</x:f>
        <x:v>28</x:v>
      </x:c>
    </x:row>
    <x:row r="10">
      <x:c r="A10" s="10" t="str">
        <x:v>仅补充</x:v>
      </x:c>
      <x:c r="B10" s="10" t="n">
        <x:f>COUNTIF('审批指标复核'!B2:B99,"仅补充")</x:f>
        <x:v>25</x:v>
      </x:c>
    </x:row>
    <x:row r="11">
      <x:c r="A11" s="10" t="str">
        <x:v>不可替代</x:v>
      </x:c>
      <x:c r="B11" s="10" t="n">
        <x:f>COUNTIF('审批指标复核'!B2:B99,"不可替代")</x:f>
        <x:v>8</x:v>
      </x:c>
    </x:row>
    <x:row r="12">
      <x:c r="A12" s="10"/>
      <x:c r="B12" s="10"/>
    </x:row>
    <x:row r="13">
      <x:c r="A13" s="10"/>
      <x:c r="B13" s="10"/>
    </x:row>
    <x:row r="14">
      <x:c r="A14" s="29" t="str">
        <x:v>行业景气指标清单</x:v>
      </x:c>
      <x:c r="B14" s="29" t="str">
        <x:v>数量</x:v>
      </x:c>
      <x:c r="D14" s="9" t="str">
        <x:v>关键结论</x:v>
      </x:c>
      <x:c r="E14" s="9"/>
      <x:c r="F14" s="9"/>
      <x:c r="G14" s="9"/>
      <x:c r="H14" s="9"/>
    </x:row>
    <x:row r="15" ht="40" customHeight="1">
      <x:c r="A15" s="10" t="str">
        <x:v>总映射数</x:v>
      </x:c>
      <x:c r="B15" s="10" t="n">
        <x:f>COUNTA('行业景气指标清单'!A2:A841)</x:f>
        <x:v>840</x:v>
      </x:c>
      <x:c r="D15" s="11" t="str">
        <x:v>黄色并非全部可直接替代：产品子项、统计变化率和价格水平混用时已下调。</x:v>
      </x:c>
      <x:c r="E15" s="11"/>
      <x:c r="F15" s="11"/>
      <x:c r="G15" s="11"/>
      <x:c r="H15" s="11"/>
    </x:row>
    <x:row r="16" ht="40" customHeight="1">
      <x:c r="A16" s="10" t="str">
        <x:v>覆盖行业</x:v>
      </x:c>
      <x:c r="B16" s="10" t="n">
        <x:f>28</x:f>
        <x:v>28</x:v>
      </x:c>
      <x:c r="D16" s="11" t="str">
        <x:v>绿色只有 1 条通过为可直接替代；其余需要近似、补充或剔除处理。</x:v>
      </x:c>
      <x:c r="E16" s="11"/>
      <x:c r="F16" s="11"/>
      <x:c r="G16" s="11"/>
      <x:c r="H16" s="11"/>
    </x:row>
    <x:row r="17" ht="40" customHeight="1">
      <x:c r="A17" s="10" t="str">
        <x:v>每行业最少</x:v>
      </x:c>
      <x:c r="B17" s="10" t="n">
        <x:f>30</x:f>
        <x:v>30</x:v>
      </x:c>
      <x:c r="D17" s="11" t="str">
        <x:v>全国目标优先使用全国/全市场指标；地区或公司数据只作为明确代理。</x:v>
      </x:c>
      <x:c r="E17" s="11"/>
      <x:c r="F17" s="11"/>
      <x:c r="G17" s="11"/>
      <x:c r="H17" s="11"/>
    </x:row>
    <x:row r="18" ht="40" customHeight="1">
      <x:c r="A18" s="10" t="str">
        <x:v>每行业最多</x:v>
      </x:c>
      <x:c r="B18" s="10" t="n">
        <x:f>30</x:f>
        <x:v>30</x:v>
      </x:c>
      <x:c r="D18" s="11" t="str">
        <x:v>景气清单共 840 条，覆盖 28 个申万一级行业，每个行业严格 30 条。</x:v>
      </x:c>
      <x:c r="E18" s="11"/>
      <x:c r="F18" s="11"/>
      <x:c r="G18" s="11"/>
      <x:c r="H18" s="11"/>
    </x:row>
    <x:row r="19" ht="40" customHeight="1">
      <x:c r="A19" s="10" t="str">
        <x:v>日频</x:v>
      </x:c>
      <x:c r="B19" s="10" t="n">
        <x:f>COUNTIF('行业景气指标清单'!G2:G841,"日")</x:f>
        <x:v>69</x:v>
      </x:c>
      <x:c r="D19" s="11" t="str">
        <x:v>清单已排除前序审批指标；同一指标可合理映射多个行业。</x:v>
      </x:c>
      <x:c r="E19" s="11"/>
      <x:c r="F19" s="11"/>
      <x:c r="G19" s="11"/>
      <x:c r="H19" s="11"/>
    </x:row>
    <x:row r="20" ht="40" customHeight="1">
      <x:c r="A20" s="10" t="str">
        <x:v>周频</x:v>
      </x:c>
      <x:c r="B20" s="10" t="n">
        <x:f>COUNTIF('行业景气指标清单'!G2:G841,"周")</x:f>
        <x:v>107</x:v>
      </x:c>
      <x:c r="D20" s="11" t="str">
        <x:v>清单页无审批高亮；日频优先，但没有为了日频牺牲统计对象正确性。</x:v>
      </x:c>
      <x:c r="E20" s="11"/>
      <x:c r="F20" s="11"/>
      <x:c r="G20" s="11"/>
      <x:c r="H20" s="11"/>
    </x:row>
    <x:row r="21" ht="40" customHeight="1">
      <x:c r="A21" s="10" t="str">
        <x:v>旬频</x:v>
      </x:c>
      <x:c r="B21" s="10" t="n">
        <x:f>COUNTIF('行业景气指标清单'!G2:G841,"旬")</x:f>
        <x:v>19</x:v>
      </x:c>
      <x:c r="D21" s="11" t="str">
        <x:v>本轮只维护指标清单；公式、方向、滞后与因子检验暂不展开。</x:v>
      </x:c>
      <x:c r="E21" s="11"/>
      <x:c r="F21" s="11"/>
      <x:c r="G21" s="11"/>
      <x:c r="H21" s="11"/>
    </x:row>
    <x:row r="22" ht="40" customHeight="1">
      <x:c r="A22" s="10" t="str">
        <x:v>月频</x:v>
      </x:c>
      <x:c r="B22" s="10" t="n">
        <x:f>COUNTIF('行业景气指标清单'!G2:G841,"月")</x:f>
        <x:v>517</x:v>
      </x:c>
      <x:c r="D22" s="11" t="str">
        <x:v>所有指标进入正式回测前仍需检查观测级发布时间和历史数值。</x:v>
      </x:c>
      <x:c r="E22" s="11"/>
      <x:c r="F22" s="11"/>
      <x:c r="G22" s="11"/>
      <x:c r="H22" s="11"/>
    </x:row>
    <x:row r="23">
      <x:c r="A23" s="10" t="str">
        <x:v>季频</x:v>
      </x:c>
      <x:c r="B23" s="10" t="n">
        <x:f>COUNTIF('行业景气指标清单'!G2:G841,"季")</x:f>
        <x:v>128</x:v>
      </x:c>
    </x:row>
  </x:sheetData>
  <x:mergeCells>
    <x:mergeCell ref="A1:H1"/>
    <x:mergeCell ref="D14:H14"/>
    <x:mergeCell ref="D15:H15"/>
    <x:mergeCell ref="D16:H16"/>
    <x:mergeCell ref="D17:H17"/>
    <x:mergeCell ref="D18:H18"/>
    <x:mergeCell ref="D19:H19"/>
    <x:mergeCell ref="D20:H20"/>
    <x:mergeCell ref="D21:H21"/>
    <x:mergeCell ref="D22:H2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2" hidden="0" customWidth="1"/>
    <x:col min="2" max="2" width="11" hidden="0" customWidth="1"/>
    <x:col min="3" max="3" width="16" hidden="0" customWidth="1"/>
    <x:col min="4" max="4" width="42" hidden="0" customWidth="1"/>
    <x:col min="5" max="5" width="44" hidden="0" customWidth="1"/>
    <x:col min="6" max="6" width="15" hidden="0" customWidth="1"/>
    <x:col min="7" max="7" width="60" hidden="0" customWidth="1"/>
    <x:col min="8" max="8" width="38" hidden="0" customWidth="1"/>
    <x:col min="9" max="9" width="18" hidden="0" customWidth="1"/>
  </x:cols>
  <x:sheetData>
    <x:row r="1" ht="42" customHeight="1">
      <x:c r="A1" s="9" t="str">
        <x:v>来源</x:v>
      </x:c>
      <x:c r="B1" s="9" t="str">
        <x:v>原审批颜色</x:v>
      </x:c>
      <x:c r="C1" s="9" t="str">
        <x:v>行业</x:v>
      </x:c>
      <x:c r="D1" s="9" t="str">
        <x:v>原目标/关联目标</x:v>
      </x:c>
      <x:c r="E1" s="9" t="str">
        <x:v>UQER指标</x:v>
      </x:c>
      <x:c r="F1" s="9" t="str">
        <x:v>当前结论</x:v>
      </x:c>
      <x:c r="G1" s="9" t="str">
        <x:v>重点原因</x:v>
      </x:c>
      <x:c r="H1" s="9" t="str">
        <x:v>建议动作</x:v>
      </x:c>
      <x:c r="I1" s="9" t="str">
        <x:v>引用ID</x:v>
      </x:c>
    </x:row>
    <x:row r="2" ht="48" customHeight="1">
      <x:c r="A2" s="21" t="str">
        <x:v>审批复核</x:v>
      </x:c>
      <x:c r="B2" s="21" t="str">
        <x:v>黄色</x:v>
      </x:c>
      <x:c r="C2" s="21" t="str">
        <x:v>801960</x:v>
      </x:c>
      <x:c r="D2" s="13" t="str">
        <x:v>中海油服:钻井服务日历天使用率</x:v>
      </x:c>
      <x:c r="E2" s="13" t="str">
        <x:v>中海油服:日历天使用率:钻井服务:累计值</x:v>
      </x:c>
      <x:c r="F2" s="21" t="str">
        <x:v>近似替代</x:v>
      </x:c>
      <x:c r="G2" s="13" t="str">
        <x:v>同为中海油服钻井服务日历天使用率，但 UQER 为季度累计口径且最新期止于 2024-03。；黄色被下调；累计口径；更新滞后</x:v>
      </x:c>
      <x:c r="H2" s="13" t="str">
        <x:v>分开保存；通过因子稳定性检验后再使用</x:v>
      </x:c>
      <x:c r="I2" s="21" t="str">
        <x:v>9 / 2020709395</x:v>
      </x:c>
    </x:row>
    <x:row r="3" ht="48" customHeight="1">
      <x:c r="A3" s="21" t="str">
        <x:v>审批复核</x:v>
      </x:c>
      <x:c r="B3" s="21" t="str">
        <x:v>黄色</x:v>
      </x:c>
      <x:c r="C3" s="21" t="str">
        <x:v>801950</x:v>
      </x:c>
      <x:c r="D3" s="13" t="str">
        <x:v>秦皇岛港:平仓价:动力末煤(Q5500,山西产)</x:v>
      </x:c>
      <x:c r="E3" s="13" t="str">
        <x:v>现货交易平仓价:CCTD秦皇岛动力煤(Q5500)</x:v>
      </x:c>
      <x:c r="F3" s="21" t="str">
        <x:v>近似替代</x:v>
      </x:c>
      <x:c r="G3" s="13" t="str">
        <x:v>Q5500 秦皇岛平仓价一致，但 UQER 名称未限定“山西产”。；黄色被下调；产地口径未明确</x:v>
      </x:c>
      <x:c r="H3" s="13" t="str">
        <x:v>分开保存；通过因子稳定性检验后再使用</x:v>
      </x:c>
      <x:c r="I3" s="21" t="str">
        <x:v>10 / 2020657630</x:v>
      </x:c>
    </x:row>
    <x:row r="4" ht="48" customHeight="1">
      <x:c r="A4" s="21" t="str">
        <x:v>审批复核</x:v>
      </x:c>
      <x:c r="B4" s="21" t="str">
        <x:v>黄色</x:v>
      </x:c>
      <x:c r="C4" s="21" t="str">
        <x:v>801950</x:v>
      </x:c>
      <x:c r="D4" s="13" t="str">
        <x:v>现货离岸价(FOB):动力煤:澳大利亚纽卡斯尔/肯布拉港</x:v>
      </x:c>
      <x:c r="E4" s="13" t="str">
        <x:v>离岸价(FOB):动力煤:澳大利亚纽卡斯尔港NEWCIndex(周)</x:v>
      </x:c>
      <x:c r="F4" s="21" t="str">
        <x:v>近似替代</x:v>
      </x:c>
      <x:c r="G4" s="13" t="str">
        <x:v>UQER 是纽卡斯尔港 NEWC 周度指数，未覆盖目标名称中的肯布拉港。；黄色被下调；港口范围缩窄</x:v>
      </x:c>
      <x:c r="H4" s="13" t="str">
        <x:v>分开保存；通过因子稳定性检验后再使用</x:v>
      </x:c>
      <x:c r="I4" s="21" t="str">
        <x:v>11 / 2020000630</x:v>
      </x:c>
    </x:row>
    <x:row r="5" ht="48" customHeight="1">
      <x:c r="A5" s="23" t="str">
        <x:v>审批复核</x:v>
      </x:c>
      <x:c r="B5" s="23" t="str">
        <x:v>绿色</x:v>
      </x:c>
      <x:c r="C5" s="23" t="str">
        <x:v>801050</x:v>
      </x:c>
      <x:c r="D5" s="14" t="str">
        <x:v>中国:产能:电解铝:当月值</x:v>
      </x:c>
      <x:c r="E5" s="14" t="str">
        <x:v>产量:原铝(电解铝):当月值</x:v>
      </x:c>
      <x:c r="F5" s="23" t="str">
        <x:v>不可替代</x:v>
      </x:c>
      <x:c r="G5" s="14" t="str">
        <x:v>产能是生产能力，产量是实际产出；两者不能直接替代。；统计对象冲突</x:v>
      </x:c>
      <x:c r="H5" s="14" t="str">
        <x:v>移出替代映射；查看更优候选</x:v>
      </x:c>
      <x:c r="I5" s="23" t="str">
        <x:v>23 / 1020008684</x:v>
      </x:c>
    </x:row>
    <x:row r="6" ht="48" customHeight="1">
      <x:c r="A6" s="23" t="str">
        <x:v>审批复核</x:v>
      </x:c>
      <x:c r="B6" s="23" t="str">
        <x:v>绿色</x:v>
      </x:c>
      <x:c r="C6" s="23" t="str">
        <x:v>801050</x:v>
      </x:c>
      <x:c r="D6" s="14" t="str">
        <x:v>COMEX:库存量:铜</x:v>
      </x:c>
      <x:c r="E6" s="14" t="str">
        <x:v>COMEX:精铜:持仓比重:总持仓:多头:其他</x:v>
      </x:c>
      <x:c r="F6" s="23" t="str">
        <x:v>不可替代</x:v>
      </x:c>
      <x:c r="G6" s="14" t="str">
        <x:v>COMEX 铜库存与 CFTC 多头持仓比重是不同指标。；统计对象冲突</x:v>
      </x:c>
      <x:c r="H6" s="14" t="str">
        <x:v>移出替代映射；查看更优候选</x:v>
      </x:c>
      <x:c r="I6" s="23" t="str">
        <x:v>27 / 2220006352</x:v>
      </x:c>
    </x:row>
    <x:row r="7" ht="48" customHeight="1">
      <x:c r="A7" s="23" t="str">
        <x:v>审批复核</x:v>
      </x:c>
      <x:c r="B7" s="23" t="str">
        <x:v>绿色</x:v>
      </x:c>
      <x:c r="C7" s="23" t="str">
        <x:v>801050</x:v>
      </x:c>
      <x:c r="D7" s="14" t="str">
        <x:v>COMEX:库存量:铜</x:v>
      </x:c>
      <x:c r="E7" s="14" t="str">
        <x:v>COMEX:精铜:持仓比重:总持仓:空头:其他</x:v>
      </x:c>
      <x:c r="F7" s="23" t="str">
        <x:v>不可替代</x:v>
      </x:c>
      <x:c r="G7" s="14" t="str">
        <x:v>COMEX 铜库存与 CFTC 空头持仓比重是不同指标。；统计对象冲突</x:v>
      </x:c>
      <x:c r="H7" s="14" t="str">
        <x:v>移出替代映射；查看更优候选</x:v>
      </x:c>
      <x:c r="I7" s="23" t="str">
        <x:v>27 / 2220006353</x:v>
      </x:c>
    </x:row>
    <x:row r="8" ht="48" customHeight="1">
      <x:c r="A8" s="23" t="str">
        <x:v>审批复核</x:v>
      </x:c>
      <x:c r="B8" s="23" t="str">
        <x:v>绿色</x:v>
      </x:c>
      <x:c r="C8" s="23" t="str">
        <x:v>801050</x:v>
      </x:c>
      <x:c r="D8" s="14" t="str">
        <x:v>期货收盘价(活跃合约)COMEX黄金</x:v>
      </x:c>
      <x:c r="E8" s="14" t="str">
        <x:v>COMEX:黄金:总计持仓:旧年度</x:v>
      </x:c>
      <x:c r="F8" s="23" t="str">
        <x:v>不可替代</x:v>
      </x:c>
      <x:c r="G8" s="14" t="str">
        <x:v>黄金期货收盘价与黄金旧年度持仓量量纲、含义均不同。；统计对象冲突；单位冲突</x:v>
      </x:c>
      <x:c r="H8" s="14" t="str">
        <x:v>移出替代映射；查看更优候选</x:v>
      </x:c>
      <x:c r="I8" s="23" t="str">
        <x:v>30 / 2220006414</x:v>
      </x:c>
    </x:row>
    <x:row r="9" ht="48" customHeight="1">
      <x:c r="A9" s="23" t="str">
        <x:v>审批复核</x:v>
      </x:c>
      <x:c r="B9" s="23" t="str">
        <x:v>绿色</x:v>
      </x:c>
      <x:c r="C9" s="23" t="str">
        <x:v>801050</x:v>
      </x:c>
      <x:c r="D9" s="14" t="str">
        <x:v>美国:国债到期收益率:10年</x:v>
      </x:c>
      <x:c r="E9" s="14" t="str">
        <x:v>美国:国债收益率:10年期国债-2年期国债</x:v>
      </x:c>
      <x:c r="F9" s="23" t="str">
        <x:v>不可替代</x:v>
      </x:c>
      <x:c r="G9" s="14" t="str">
        <x:v>目标是美国 10 年期国债收益率，候选是 10 年减 2 年期限利差。；期限结构口径冲突</x:v>
      </x:c>
      <x:c r="H9" s="14" t="str">
        <x:v>移出替代映射；查看更优候选</x:v>
      </x:c>
      <x:c r="I9" s="23" t="str">
        <x:v>31 / 3010903755</x:v>
      </x:c>
    </x:row>
    <x:row r="10" ht="48" customHeight="1">
      <x:c r="A10" s="23" t="str">
        <x:v>审批复核</x:v>
      </x:c>
      <x:c r="B10" s="23" t="str">
        <x:v>绿色</x:v>
      </x:c>
      <x:c r="C10" s="23" t="str">
        <x:v>801030</x:v>
      </x:c>
      <x:c r="D10" s="14" t="str">
        <x:v>中国:库存天数:涤纶长丝(POY):江浙织机</x:v>
      </x:c>
      <x:c r="E10" s="14" t="str">
        <x:v>市场价:涤纶长丝(POY150D/48)</x:v>
      </x:c>
      <x:c r="F10" s="23" t="str">
        <x:v>不可替代</x:v>
      </x:c>
      <x:c r="G10" s="14" t="str">
        <x:v>目标是江浙织机 POY 库存天数，候选是 POY150D/48 市场价格。；统计对象冲突</x:v>
      </x:c>
      <x:c r="H10" s="14" t="str">
        <x:v>移出替代映射；查看更优候选</x:v>
      </x:c>
      <x:c r="I10" s="23" t="str">
        <x:v>60 / 2030725912</x:v>
      </x:c>
    </x:row>
    <x:row r="11" ht="48" customHeight="1">
      <x:c r="A11" s="21" t="str">
        <x:v>审批复核</x:v>
      </x:c>
      <x:c r="B11" s="21" t="str">
        <x:v>黄色</x:v>
      </x:c>
      <x:c r="C11" s="21" t="str">
        <x:v>801040</x:v>
      </x:c>
      <x:c r="D11" s="13" t="str">
        <x:v>中国:价格:螺纹钢(HRB400E,20mm)</x:v>
      </x:c>
      <x:c r="E11" s="13" t="str">
        <x:v>生产资料价格:钢材:螺纹钢:Φ20mmHRB400E:环比</x:v>
      </x:c>
      <x:c r="F11" s="21" t="str">
        <x:v>仅补充</x:v>
      </x:c>
      <x:c r="G11" s="13" t="str">
        <x:v>产品规格 Φ20mm HRB400E 完全对应，但候选是环比百分比，不是价格水平。；黄色被下调；统计口径冲突</x:v>
      </x:c>
      <x:c r="H11" s="13" t="str">
        <x:v>作为新增解释变量，不替换原序列</x:v>
      </x:c>
      <x:c r="I11" s="21" t="str">
        <x:v>73 / 1040005377</x:v>
      </x:c>
    </x:row>
    <x:row r="12" ht="48" customHeight="1">
      <x:c r="A12" s="21" t="str">
        <x:v>审批复核</x:v>
      </x:c>
      <x:c r="B12" s="21" t="str">
        <x:v>黄色</x:v>
      </x:c>
      <x:c r="C12" s="21" t="str">
        <x:v>801040</x:v>
      </x:c>
      <x:c r="D12" s="13" t="str">
        <x:v>中国:出口数量:不锈钢:当月值</x:v>
      </x:c>
      <x:c r="E12" s="13" t="str">
        <x:v>出口数量:不锈钢丝(7223):当月值</x:v>
      </x:c>
      <x:c r="F12" s="21" t="str">
        <x:v>仅补充</x:v>
      </x:c>
      <x:c r="G12" s="13" t="str">
        <x:v>HS 7223 仅是不锈钢丝，不能代表全部不锈钢出口数量。；黄色被下调；产品范围缩窄</x:v>
      </x:c>
      <x:c r="H12" s="13" t="str">
        <x:v>作为新增解释变量，不替换原序列</x:v>
      </x:c>
      <x:c r="I12" s="21" t="str">
        <x:v>78 / 2040201927</x:v>
      </x:c>
    </x:row>
    <x:row r="13" ht="48" customHeight="1">
      <x:c r="A13" s="21" t="str">
        <x:v>审批复核</x:v>
      </x:c>
      <x:c r="B13" s="21" t="str">
        <x:v>黄色</x:v>
      </x:c>
      <x:c r="C13" s="21" t="str">
        <x:v>801710</x:v>
      </x:c>
      <x:c r="D13" s="13" t="str">
        <x:v>中国:市场价:浮法平板玻璃(4.8/5mm)</x:v>
      </x:c>
      <x:c r="E13" s="13" t="str">
        <x:v>生产资料价格:建材:浮法平板玻璃:5mm:环比</x:v>
      </x:c>
      <x:c r="F13" s="21" t="str">
        <x:v>仅补充</x:v>
      </x:c>
      <x:c r="G13" s="13" t="str">
        <x:v>5mm 浮法平板玻璃规格接近，但候选是环比百分比，不是市场价格水平。；黄色被下调；统计口径冲突</x:v>
      </x:c>
      <x:c r="H13" s="13" t="str">
        <x:v>作为新增解释变量，不替换原序列</x:v>
      </x:c>
      <x:c r="I13" s="21" t="str">
        <x:v>83 / 1040005437</x:v>
      </x:c>
    </x:row>
    <x:row r="14" ht="48" customHeight="1">
      <x:c r="A14" s="21" t="str">
        <x:v>审批复核</x:v>
      </x:c>
      <x:c r="B14" s="21" t="str">
        <x:v>黄色</x:v>
      </x:c>
      <x:c r="C14" s="21" t="str">
        <x:v>801720</x:v>
      </x:c>
      <x:c r="D14" s="13" t="str">
        <x:v>美国:新订单额:制造业:季调:同比</x:v>
      </x:c>
      <x:c r="E14" s="13" t="str">
        <x:v>美国:制造业新订单:核心资本品(剔除国防和飞机):季调:同比</x:v>
      </x:c>
      <x:c r="F14" s="21" t="str">
        <x:v>近似替代</x:v>
      </x:c>
      <x:c r="G14" s="13" t="str">
        <x:v>候选仅覆盖剔除国防和飞机的核心资本品订单，不代表美国制造业全部新订单。；黄色被下调；统计范围缩窄</x:v>
      </x:c>
      <x:c r="H14" s="13" t="str">
        <x:v>分开保存；通过因子稳定性检验后再使用</x:v>
      </x:c>
      <x:c r="I14" s="21" t="str">
        <x:v>90 / 3010500036</x:v>
      </x:c>
    </x:row>
    <x:row r="15" ht="48" customHeight="1">
      <x:c r="A15" s="21" t="str">
        <x:v>审批复核</x:v>
      </x:c>
      <x:c r="B15" s="21" t="str">
        <x:v>黄色</x:v>
      </x:c>
      <x:c r="C15" s="21" t="str">
        <x:v>801890</x:v>
      </x:c>
      <x:c r="D15" s="13" t="str">
        <x:v>中国:存货:专用设备制造业:同比</x:v>
      </x:c>
      <x:c r="E15" s="13" t="str">
        <x:v>工业企业:存货:专用设备制造业:累计同比</x:v>
      </x:c>
      <x:c r="F15" s="21" t="str">
        <x:v>近似替代</x:v>
      </x:c>
      <x:c r="G15" s="13" t="str">
        <x:v>行业和同比方向一致，但 UQER 标注累计同比；需用数值对账确认其是否实为期末存货同比。；黄色被下调；累计/期末口径待核</x:v>
      </x:c>
      <x:c r="H15" s="13" t="str">
        <x:v>分开保存；通过因子稳定性检验后再使用</x:v>
      </x:c>
      <x:c r="I15" s="21" t="str">
        <x:v>97 / 1020006641</x:v>
      </x:c>
    </x:row>
    <x:row r="16" ht="48" customHeight="1">
      <x:c r="A16" s="21" t="str">
        <x:v>审批复核</x:v>
      </x:c>
      <x:c r="B16" s="21" t="str">
        <x:v>黄色</x:v>
      </x:c>
      <x:c r="C16" s="21" t="str">
        <x:v>801740</x:v>
      </x:c>
      <x:c r="D16" s="13" t="str">
        <x:v>中国:中央本级一般公共预算支出:国防</x:v>
      </x:c>
      <x:c r="E16" s="13" t="str">
        <x:v>中央本级公共财政支出:国防</x:v>
      </x:c>
      <x:c r="F16" s="21" t="str">
        <x:v>近似替代</x:v>
      </x:c>
      <x:c r="G16" s="13" t="str">
        <x:v>中央本级国防支出对象一致，但“公共财政支出”与现行“一般公共预算支出”存在财政科目沿革。；黄色被下调；财政口径沿革</x:v>
      </x:c>
      <x:c r="H16" s="13" t="str">
        <x:v>分开保存；通过因子稳定性检验后再使用</x:v>
      </x:c>
      <x:c r="I16" s="21" t="str">
        <x:v>116 / 1060013427</x:v>
      </x:c>
    </x:row>
    <x:row r="17" ht="48" customHeight="1">
      <x:c r="A17" s="21" t="str">
        <x:v>审批复核</x:v>
      </x:c>
      <x:c r="B17" s="21" t="str">
        <x:v>黄色</x:v>
      </x:c>
      <x:c r="C17" s="21" t="str">
        <x:v>801160</x:v>
      </x:c>
      <x:c r="D17" s="13" t="str">
        <x:v>秦皇岛港:平仓价:动力末煤(Q5500,山西产)</x:v>
      </x:c>
      <x:c r="E17" s="13" t="str">
        <x:v>现货交易平仓价:CCTD秦皇岛动力煤(Q5500)</x:v>
      </x:c>
      <x:c r="F17" s="21" t="str">
        <x:v>近似替代</x:v>
      </x:c>
      <x:c r="G17" s="13" t="str">
        <x:v>Q5500 秦皇岛平仓价一致，但 UQER 名称未限定“山西产”。；黄色被下调；产地口径未明确</x:v>
      </x:c>
      <x:c r="H17" s="13" t="str">
        <x:v>分开保存；通过因子稳定性检验后再使用</x:v>
      </x:c>
      <x:c r="I17" s="21" t="str">
        <x:v>122 / 2020657630</x:v>
      </x:c>
    </x:row>
    <x:row r="18" ht="48" customHeight="1">
      <x:c r="A18" s="21" t="str">
        <x:v>审批复核</x:v>
      </x:c>
      <x:c r="B18" s="21" t="str">
        <x:v>黄色</x:v>
      </x:c>
      <x:c r="C18" s="21" t="str">
        <x:v>801730</x:v>
      </x:c>
      <x:c r="D18" s="13" t="str">
        <x:v>中国:保有量:充电桩(公共)</x:v>
      </x:c>
      <x:c r="E18" s="13" t="str">
        <x:v>保有量:公用充电桩:中国</x:v>
      </x:c>
      <x:c r="F18" s="21" t="str">
        <x:v>近似替代</x:v>
      </x:c>
      <x:c r="G18" s="13" t="str">
        <x:v>均为中国公共充电桩保有量，但 UQER 为 IEA 年频数据，更新频率明显较低。；黄色被下调；频率降低；来源不同</x:v>
      </x:c>
      <x:c r="H18" s="13" t="str">
        <x:v>分开保存；通过因子稳定性检验后再使用</x:v>
      </x:c>
      <x:c r="I18" s="21" t="str">
        <x:v>161 / 2070910753</x:v>
      </x:c>
    </x:row>
    <x:row r="19" ht="48" customHeight="1">
      <x:c r="A19" s="23" t="str">
        <x:v>审批复核</x:v>
      </x:c>
      <x:c r="B19" s="23" t="str">
        <x:v>绿色</x:v>
      </x:c>
      <x:c r="C19" s="23" t="str">
        <x:v>801180</x:v>
      </x:c>
      <x:c r="D19" s="14" t="str">
        <x:v>深圳:预计供应房源套数:商品房</x:v>
      </x:c>
      <x:c r="E19" s="14" t="str">
        <x:v>商品房:可售套数:深圳</x:v>
      </x:c>
      <x:c r="F19" s="23" t="str">
        <x:v>不可替代</x:v>
      </x:c>
      <x:c r="G19" s="14" t="str">
        <x:v>预计供应房源是未来新增供给，可售套数是现有库存，两者时点和含义不同。；统计对象冲突</x:v>
      </x:c>
      <x:c r="H19" s="14" t="str">
        <x:v>移出替代映射；查看更优候选</x:v>
      </x:c>
      <x:c r="I19" s="23" t="str">
        <x:v>168 / 2170729410</x:v>
      </x:c>
    </x:row>
    <x:row r="20" ht="48" customHeight="1">
      <x:c r="A20" s="21" t="str">
        <x:v>审批复核</x:v>
      </x:c>
      <x:c r="B20" s="21" t="str">
        <x:v>黄色</x:v>
      </x:c>
      <x:c r="C20" s="21" t="str">
        <x:v>801110</x:v>
      </x:c>
      <x:c r="D20" s="13" t="str">
        <x:v>中国:销售金额:大家电:白电:空调:线下:当月值:同比</x:v>
      </x:c>
      <x:c r="E20" s="13" t="str">
        <x:v>总销售额:中央空调:当月同比</x:v>
      </x:c>
      <x:c r="F20" s="21" t="str">
        <x:v>仅补充</x:v>
      </x:c>
      <x:c r="G20" s="13" t="str">
        <x:v>中央空调总销售与线下家用白电空调销售的产品和渠道均不同。；黄色被下调；产品范围冲突；渠道冲突</x:v>
      </x:c>
      <x:c r="H20" s="13" t="str">
        <x:v>作为新增解释变量，不替换原序列</x:v>
      </x:c>
      <x:c r="I20" s="21" t="str">
        <x:v>218 / 2090102508</x:v>
      </x:c>
    </x:row>
    <x:row r="21" ht="48" customHeight="1">
      <x:c r="A21" s="21" t="str">
        <x:v>审批复核</x:v>
      </x:c>
      <x:c r="B21" s="21" t="str">
        <x:v>黄色</x:v>
      </x:c>
      <x:c r="C21" s="21" t="str">
        <x:v>801130</x:v>
      </x:c>
      <x:c r="D21" s="13" t="str">
        <x:v>中国:存货:纺织服装、服饰业:同比</x:v>
      </x:c>
      <x:c r="E21" s="13" t="str">
        <x:v>工业企业:存货:纺织服装、服饰业:累计同比</x:v>
      </x:c>
      <x:c r="F21" s="21" t="str">
        <x:v>近似替代</x:v>
      </x:c>
      <x:c r="G21" s="13" t="str">
        <x:v>行业和同比方向一致，但 UQER 标注累计同比；需核对其是否为期末存货同比。；黄色被下调；累计/期末口径待核</x:v>
      </x:c>
      <x:c r="H21" s="13" t="str">
        <x:v>分开保存；通过因子稳定性检验后再使用</x:v>
      </x:c>
      <x:c r="I21" s="21" t="str">
        <x:v>230 / 1020006590</x:v>
      </x:c>
    </x:row>
    <x:row r="22" ht="48" customHeight="1">
      <x:c r="A22" s="21" t="str">
        <x:v>审批复核</x:v>
      </x:c>
      <x:c r="B22" s="21" t="str">
        <x:v>黄色</x:v>
      </x:c>
      <x:c r="C22" s="21" t="str">
        <x:v>801130</x:v>
      </x:c>
      <x:c r="D22" s="13" t="str">
        <x:v>中国:商品零售额:限额以上单位:服装鞋帽针纺织品类:当月同比(1-2月合并)</x:v>
      </x:c>
      <x:c r="E22" s="13" t="str">
        <x:v>全国百家重点大型零售企业商品零售额:服装:当月同比</x:v>
      </x:c>
      <x:c r="F22" s="21" t="str">
        <x:v>近似替代</x:v>
      </x:c>
      <x:c r="G22" s="13" t="str">
        <x:v>全国百家重点大型零售企业服装销售可作高质量代理，但样本范围小于限额以上单位服装鞋帽针纺织品类。；黄色被下调；调查样本缩窄；品类缩窄</x:v>
      </x:c>
      <x:c r="H22" s="13" t="str">
        <x:v>分开保存；通过因子稳定性检验后再使用</x:v>
      </x:c>
      <x:c r="I22" s="21" t="str">
        <x:v>232 / 2200000456</x:v>
      </x:c>
    </x:row>
    <x:row r="23" ht="48" customHeight="1">
      <x:c r="A23" s="21" t="str">
        <x:v>审批复核</x:v>
      </x:c>
      <x:c r="B23" s="21" t="str">
        <x:v>黄色</x:v>
      </x:c>
      <x:c r="C23" s="21" t="str">
        <x:v>801140</x:v>
      </x:c>
      <x:c r="D23" s="13" t="str">
        <x:v>中国:出口金额:家具及其零件:当月值</x:v>
      </x:c>
      <x:c r="E23" s="13" t="str">
        <x:v>出口金额(美元):其他家具及其零件(9403):当月值</x:v>
      </x:c>
      <x:c r="F23" s="21" t="str">
        <x:v>近似替代</x:v>
      </x:c>
      <x:c r="G23" s="13" t="str">
        <x:v>HS 9403 覆盖其他家具及零件，未包含所有家具相关 HS 子目。；黄色被下调；HS 范围可能缩窄</x:v>
      </x:c>
      <x:c r="H23" s="13" t="str">
        <x:v>分开保存；通过因子稳定性检验后再使用</x:v>
      </x:c>
      <x:c r="I23" s="21" t="str">
        <x:v>246 / 2087008113</x:v>
      </x:c>
    </x:row>
    <x:row r="24" ht="48" customHeight="1">
      <x:c r="A24" s="21" t="str">
        <x:v>审批复核</x:v>
      </x:c>
      <x:c r="B24" s="21" t="str">
        <x:v>黄色</x:v>
      </x:c>
      <x:c r="C24" s="21" t="str">
        <x:v>801140</x:v>
      </x:c>
      <x:c r="D24" s="13" t="str">
        <x:v>中国:商品零售额:限额以上单位:体育、娱乐用品类:当月同比(1-2月合并)</x:v>
      </x:c>
      <x:c r="E24" s="13" t="str">
        <x:v>销售额:重点监测零售企业:体育娱乐用品:当月同比</x:v>
      </x:c>
      <x:c r="F24" s="21" t="str">
        <x:v>近似替代</x:v>
      </x:c>
      <x:c r="G24" s="13" t="str">
        <x:v>重点监测零售企业样本可反映体育娱乐用品需求，但不等于全部限额以上单位。；黄色被下调；调查样本缩窄</x:v>
      </x:c>
      <x:c r="H24" s="13" t="str">
        <x:v>分开保存；通过因子稳定性检验后再使用</x:v>
      </x:c>
      <x:c r="I24" s="21" t="str">
        <x:v>247 / 2200800021</x:v>
      </x:c>
    </x:row>
    <x:row r="25" ht="48" customHeight="1">
      <x:c r="A25" s="21" t="str">
        <x:v>审批复核</x:v>
      </x:c>
      <x:c r="B25" s="21" t="str">
        <x:v>黄色</x:v>
      </x:c>
      <x:c r="C25" s="21" t="str">
        <x:v>801120</x:v>
      </x:c>
      <x:c r="D25" s="13" t="str">
        <x:v>中国:出厂价:茅台(53度,500ml)</x:v>
      </x:c>
      <x:c r="E25" s="13" t="str">
        <x:v>经销商出厂价:白酒:21年飞天茅台(53度):500ml</x:v>
      </x:c>
      <x:c r="F25" s="21" t="str">
        <x:v>近似替代</x:v>
      </x:c>
      <x:c r="G25" s="13" t="str">
        <x:v>53 度 500ml 飞天茅台规格一致，但 UQER 限定 21 年产品且标为经销商出厂价。；黄色被下调；年份/渠道口径更窄</x:v>
      </x:c>
      <x:c r="H25" s="13" t="str">
        <x:v>分开保存；通过因子稳定性检验后再使用</x:v>
      </x:c>
      <x:c r="I25" s="21" t="str">
        <x:v>258 / 2110734936</x:v>
      </x:c>
    </x:row>
    <x:row r="26" ht="48" customHeight="1">
      <x:c r="A26" s="21" t="str">
        <x:v>审批复核</x:v>
      </x:c>
      <x:c r="B26" s="21" t="str">
        <x:v>黄色</x:v>
      </x:c>
      <x:c r="C26" s="21" t="str">
        <x:v>801010</x:v>
      </x:c>
      <x:c r="D26" s="13" t="str">
        <x:v>期货结算价(活跃合约):CBOT玉米</x:v>
      </x:c>
      <x:c r="E26" s="13" t="str">
        <x:v>国际期货价格:CBOT:玉米</x:v>
      </x:c>
      <x:c r="F26" s="21" t="str">
        <x:v>近似替代</x:v>
      </x:c>
      <x:c r="G26" s="13" t="str">
        <x:v>均反映 CBOT 玉米期货价格，但 UQER 是商务部周频国际期货报价，未明确活跃合约构造。；黄色被下调；合约构造未明确；频率降低</x:v>
      </x:c>
      <x:c r="H26" s="13" t="str">
        <x:v>分开保存；通过因子稳定性检验后再使用</x:v>
      </x:c>
      <x:c r="I26" s="21" t="str">
        <x:v>267 / 1040001957</x:v>
      </x:c>
    </x:row>
    <x:row r="27" ht="48" customHeight="1">
      <x:c r="A27" s="21" t="str">
        <x:v>审批复核</x:v>
      </x:c>
      <x:c r="B27" s="21" t="str">
        <x:v>黄色</x:v>
      </x:c>
      <x:c r="C27" s="21" t="str">
        <x:v>801010</x:v>
      </x:c>
      <x:c r="D27" s="13" t="str">
        <x:v>泰国:国际现货价:大米(25%)</x:v>
      </x:c>
      <x:c r="E27" s="13" t="str">
        <x:v>国际现货价格:大米(25%)</x:v>
      </x:c>
      <x:c r="F27" s="21" t="str">
        <x:v>近似替代</x:v>
      </x:c>
      <x:c r="G27" s="13" t="str">
        <x:v>25% 大米国际现货价和单位一致，但 UQER 中文名未写明泰国，需用来源说明或数值对账确认产地。；黄色被下调；产地未明确</x:v>
      </x:c>
      <x:c r="H27" s="13" t="str">
        <x:v>分开保存；通过因子稳定性检验后再使用</x:v>
      </x:c>
      <x:c r="I27" s="21" t="str">
        <x:v>268 / 1040001935</x:v>
      </x:c>
    </x:row>
    <x:row r="28" ht="48" customHeight="1">
      <x:c r="A28" s="21" t="str">
        <x:v>审批复核</x:v>
      </x:c>
      <x:c r="B28" s="21" t="str">
        <x:v>黄色</x:v>
      </x:c>
      <x:c r="C28" s="21" t="str">
        <x:v>801010</x:v>
      </x:c>
      <x:c r="D28" s="13" t="str">
        <x:v>期货结算价(活跃合约):CBOT大豆</x:v>
      </x:c>
      <x:c r="E28" s="13" t="str">
        <x:v>国际期货价格:CBOT:大豆</x:v>
      </x:c>
      <x:c r="F28" s="21" t="str">
        <x:v>近似替代</x:v>
      </x:c>
      <x:c r="G28" s="13" t="str">
        <x:v>均反映 CBOT 大豆期货价格，但 UQER 是商务部周频报价，未明确活跃合约构造。；黄色被下调；合约构造未明确；频率降低</x:v>
      </x:c>
      <x:c r="H28" s="13" t="str">
        <x:v>分开保存；通过因子稳定性检验后再使用</x:v>
      </x:c>
      <x:c r="I28" s="21" t="str">
        <x:v>273 / 1040001958</x:v>
      </x:c>
    </x:row>
    <x:row r="29" ht="48" customHeight="1">
      <x:c r="A29" s="21" t="str">
        <x:v>审批复核</x:v>
      </x:c>
      <x:c r="B29" s="21" t="str">
        <x:v>黄色</x:v>
      </x:c>
      <x:c r="C29" s="21" t="str">
        <x:v>801150</x:v>
      </x:c>
      <x:c r="D29" s="13" t="str">
        <x:v>中国:出口金额:医药材及药品:当月值</x:v>
      </x:c>
      <x:c r="E29" s="13" t="str">
        <x:v>医药品:出口金额:当月值</x:v>
      </x:c>
      <x:c r="F29" s="21" t="str">
        <x:v>近似替代</x:v>
      </x:c>
      <x:c r="G29" s="13" t="str">
        <x:v>医药品出口金额与医药材及药品高度相关，但品类边界需核对海关口径。；黄色被下调；品类范围待核</x:v>
      </x:c>
      <x:c r="H29" s="13" t="str">
        <x:v>分开保存；通过因子稳定性检验后再使用</x:v>
      </x:c>
      <x:c r="I29" s="21" t="str">
        <x:v>284 / 2140200086</x:v>
      </x:c>
    </x:row>
    <x:row r="30" ht="48" customHeight="1">
      <x:c r="A30" s="21" t="str">
        <x:v>审批复核</x:v>
      </x:c>
      <x:c r="B30" s="21" t="str">
        <x:v>黄色</x:v>
      </x:c>
      <x:c r="C30" s="21" t="str">
        <x:v>801150</x:v>
      </x:c>
      <x:c r="D30" s="13" t="str">
        <x:v>中国:商品零售额:限额以上单位:中西药品类:当月同比(1-2月合并)</x:v>
      </x:c>
      <x:c r="E30" s="13" t="str">
        <x:v>销售额:重点监测零售企业:中西药品:当月同比</x:v>
      </x:c>
      <x:c r="F30" s="21" t="str">
        <x:v>近似替代</x:v>
      </x:c>
      <x:c r="G30" s="13" t="str">
        <x:v>中西药品类别一致，但重点监测零售企业样本小于全部限额以上单位。；黄色被下调；调查样本缩窄</x:v>
      </x:c>
      <x:c r="H30" s="13" t="str">
        <x:v>分开保存；通过因子稳定性检验后再使用</x:v>
      </x:c>
      <x:c r="I30" s="21" t="str">
        <x:v>285 / 2200800024</x:v>
      </x:c>
    </x:row>
    <x:row r="31" ht="48" customHeight="1">
      <x:c r="A31" s="21" t="str">
        <x:v>审批复核</x:v>
      </x:c>
      <x:c r="B31" s="21" t="str">
        <x:v>黄色</x:v>
      </x:c>
      <x:c r="C31" s="21" t="str">
        <x:v>801150</x:v>
      </x:c>
      <x:c r="D31" s="13" t="str">
        <x:v>中药材价格指数:综合200</x:v>
      </x:c>
      <x:c r="E31" s="13" t="str">
        <x:v>市场价格指数:中药材:综合200</x:v>
      </x:c>
      <x:c r="F31" s="21" t="str">
        <x:v>仅补充</x:v>
      </x:c>
      <x:c r="G31" s="13" t="str">
        <x:v>指标定义同为中药材综合200价格指数，但年频会丢失原指数的高频变化。；黄色被下调；频率过低</x:v>
      </x:c>
      <x:c r="H31" s="13" t="str">
        <x:v>作为新增解释变量，不替换原序列</x:v>
      </x:c>
      <x:c r="I31" s="21" t="str">
        <x:v>287 / 2140000919</x:v>
      </x:c>
    </x:row>
    <x:row r="32" ht="48" customHeight="1">
      <x:c r="A32" s="23" t="str">
        <x:v>审批复核</x:v>
      </x:c>
      <x:c r="B32" s="23" t="str">
        <x:v>绿色</x:v>
      </x:c>
      <x:c r="C32" s="23" t="str">
        <x:v>801080</x:v>
      </x:c>
      <x:c r="D32" s="14" t="str">
        <x:v>全球:出货量:智能手机:苹果</x:v>
      </x:c>
      <x:c r="E32" s="14" t="str">
        <x:v>产量:智能手机:当月值</x:v>
      </x:c>
      <x:c r="F32" s="23" t="str">
        <x:v>不可替代</x:v>
      </x:c>
      <x:c r="G32" s="14" t="str">
        <x:v>目标是全球苹果智能手机出货量，候选是中国全部智能手机产量。；品牌冲突；地区冲突；出货/产量冲突</x:v>
      </x:c>
      <x:c r="H32" s="14" t="str">
        <x:v>移出替代映射；查看更优候选</x:v>
      </x:c>
      <x:c r="I32" s="23" t="str">
        <x:v>310 / 2090714994</x:v>
      </x:c>
    </x:row>
  </x:sheetData>
  <x:pageMargins left="0.7" right="0.7" top="0.75" bottom="0.75" header="0.3" footer="0.3"/>
  <x:tableParts count="1">
    <x:tablePart xmlns:r="http://schemas.openxmlformats.org/officeDocument/2006/relationships" r:id="R1ce60d262c1b49b0"/>
  </x:tableParts>
</x:worksheet>
</file>